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pat\Desktop\Kanazawa Thesis\Kanazawa Progress\"/>
    </mc:Choice>
  </mc:AlternateContent>
  <xr:revisionPtr revIDLastSave="0" documentId="13_ncr:1_{7A228D2A-CCCA-41E2-9A1F-0781A53BF4FD}" xr6:coauthVersionLast="47" xr6:coauthVersionMax="47" xr10:uidLastSave="{00000000-0000-0000-0000-000000000000}"/>
  <bookViews>
    <workbookView xWindow="-120" yWindow="-120" windowWidth="29040" windowHeight="15720" xr2:uid="{E5597B15-0EFD-4925-91C6-CFDE65C5380D}"/>
  </bookViews>
  <sheets>
    <sheet name="Jet Impingement" sheetId="1" r:id="rId1"/>
    <sheet name="Forearm Properties" sheetId="4" r:id="rId2"/>
    <sheet name="Load cell Lab Sheet" sheetId="3" r:id="rId3"/>
  </sheets>
  <definedNames>
    <definedName name="_xlnm._FilterDatabase" localSheetId="0" hidden="1">'Jet Impingement'!#REF!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1" l="1"/>
  <c r="P18" i="1"/>
  <c r="P19" i="1"/>
  <c r="P20" i="1"/>
  <c r="P21" i="1"/>
  <c r="P17" i="1"/>
  <c r="O22" i="1"/>
  <c r="G3" i="1"/>
  <c r="G4" i="1"/>
  <c r="G5" i="1"/>
  <c r="G6" i="1"/>
  <c r="G7" i="1"/>
  <c r="G8" i="1"/>
  <c r="G2" i="1"/>
  <c r="P9" i="1"/>
  <c r="P10" i="1"/>
  <c r="O9" i="1"/>
  <c r="O10" i="1"/>
  <c r="P6" i="1"/>
  <c r="P7" i="1"/>
  <c r="P8" i="1"/>
  <c r="P11" i="1"/>
  <c r="P5" i="1"/>
  <c r="Q2" i="1"/>
  <c r="C25" i="1" s="1"/>
  <c r="O6" i="1"/>
  <c r="O7" i="1"/>
  <c r="O8" i="1"/>
  <c r="O11" i="1"/>
  <c r="O5" i="1"/>
  <c r="J3" i="3"/>
  <c r="J4" i="3"/>
  <c r="J5" i="3"/>
  <c r="J6" i="3"/>
  <c r="J2" i="3"/>
  <c r="C10" i="1"/>
  <c r="D21" i="1" s="1"/>
  <c r="D19" i="1"/>
  <c r="D20" i="1" s="1"/>
  <c r="D15" i="1"/>
  <c r="C9" i="1"/>
  <c r="D16" i="1" s="1"/>
  <c r="G9" i="1" l="1"/>
  <c r="O12" i="1"/>
  <c r="D17" i="1"/>
  <c r="D22" i="1" s="1"/>
  <c r="C26" i="1" s="1"/>
  <c r="E20" i="1"/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2" i="1"/>
  <c r="L2" i="1" s="1"/>
  <c r="C24" i="1"/>
  <c r="D23" i="1" s="1"/>
  <c r="C27" i="1" s="1"/>
  <c r="L9" i="1" l="1"/>
  <c r="H8" i="1"/>
  <c r="I8" i="1" s="1"/>
  <c r="H5" i="1"/>
  <c r="I5" i="1" s="1"/>
  <c r="H6" i="1"/>
  <c r="I6" i="1" s="1"/>
  <c r="H2" i="1"/>
  <c r="I2" i="1" s="1"/>
  <c r="H3" i="1"/>
  <c r="I3" i="1" s="1"/>
  <c r="H4" i="1"/>
  <c r="I4" i="1" s="1"/>
  <c r="H7" i="1"/>
  <c r="I7" i="1" s="1"/>
  <c r="C28" i="1"/>
  <c r="I9" i="1" l="1"/>
</calcChain>
</file>

<file path=xl/sharedStrings.xml><?xml version="1.0" encoding="utf-8"?>
<sst xmlns="http://schemas.openxmlformats.org/spreadsheetml/2006/main" count="182" uniqueCount="174">
  <si>
    <t>Jet Impingement</t>
  </si>
  <si>
    <t>jet half-angle 𝛼</t>
  </si>
  <si>
    <t>Pressure distribution 𝑝(𝑟)</t>
  </si>
  <si>
    <t>Exit density ρ_e</t>
  </si>
  <si>
    <t>T_o (K)</t>
  </si>
  <si>
    <t>T_e (K)</t>
  </si>
  <si>
    <t>R (J/kg*k)</t>
  </si>
  <si>
    <t>γ (Ideal gas)</t>
  </si>
  <si>
    <t>p_o (kg/m^3)</t>
  </si>
  <si>
    <t>nozzle diameter (mm)</t>
  </si>
  <si>
    <t>distance (m)</t>
  </si>
  <si>
    <t>Impact area 𝐴 m^2</t>
  </si>
  <si>
    <t>Impingement diameter d_imp​ (m)</t>
  </si>
  <si>
    <t>Centerline overpressure Δ𝑝 (Pa)</t>
  </si>
  <si>
    <t>k</t>
  </si>
  <si>
    <t>d + 2xtanα</t>
  </si>
  <si>
    <t>≈ 10°–12° in established region (11°)</t>
  </si>
  <si>
    <t>R reaching to 0</t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</si>
  <si>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_0 (MPa)</t>
    </r>
  </si>
  <si>
    <r>
      <t xml:space="preserve">P_amb </t>
    </r>
    <r>
      <rPr>
        <sz val="11"/>
        <color theme="1"/>
        <rFont val="Times New Roman"/>
        <family val="1"/>
      </rPr>
      <t>(Mpa)</t>
    </r>
  </si>
  <si>
    <t>Phantom thickness L (mm)</t>
  </si>
  <si>
    <t>N/m^2</t>
  </si>
  <si>
    <t>Maximum Force (N)</t>
  </si>
  <si>
    <t>Average Pressure (Pa)</t>
  </si>
  <si>
    <t>Material</t>
  </si>
  <si>
    <t>Concentration (g/L)</t>
  </si>
  <si>
    <t>Potential-core length 𝐿_𝑐  (m)</t>
  </si>
  <si>
    <t>Exit Velocity U_e (m/s)</t>
  </si>
  <si>
    <t>Centerline velocity 𝑈_𝑐 (𝑥) m/s</t>
  </si>
  <si>
    <t>Agarose</t>
  </si>
  <si>
    <t>Water Volume (mL)</t>
  </si>
  <si>
    <t>Powder Required (g)</t>
  </si>
  <si>
    <t>Replicates</t>
  </si>
  <si>
    <t>Young's Modulus (kPa) - Trial 1</t>
  </si>
  <si>
    <t>Young's Modulus (kPa) - Trial 2</t>
  </si>
  <si>
    <t>Young's Modulus (kPa) - Trial 3</t>
  </si>
  <si>
    <t>Young's Modulus (kPa) - Trial 4</t>
  </si>
  <si>
    <t>AVG. Young's Modulus (kPa)</t>
  </si>
  <si>
    <t>Notes</t>
  </si>
  <si>
    <t>1. Measure water and gelatin</t>
  </si>
  <si>
    <t>Example: For 3 samples at 90 g/L → 0.77 L water + 69.3 g gelatin</t>
  </si>
  <si>
    <t>2. Hydrate gelatin</t>
  </si>
  <si>
    <r>
      <t xml:space="preserve">Sprinkle gelatin into </t>
    </r>
    <r>
      <rPr>
        <b/>
        <sz val="11"/>
        <color theme="1"/>
        <rFont val="Calibri"/>
        <family val="2"/>
        <scheme val="minor"/>
      </rPr>
      <t>cold water</t>
    </r>
    <r>
      <rPr>
        <sz val="11"/>
        <color theme="1"/>
        <rFont val="Calibri"/>
        <family val="2"/>
        <scheme val="minor"/>
      </rPr>
      <t xml:space="preserve"> slowly.</t>
    </r>
  </si>
  <si>
    <t>Let bloom for 10 minutes to fully hydrate.</t>
  </si>
  <si>
    <t>3. Dissolve gelatin</t>
  </si>
  <si>
    <t>Heat gently (40–60 °C) while stirring until fully dissolved (do not boil).</t>
  </si>
  <si>
    <t>4. Pour into molds</t>
  </si>
  <si>
    <t>Distribute evenly into 3 molds (257 mL each).</t>
  </si>
  <si>
    <t>Tap lightly to release air bubbles.</t>
  </si>
  <si>
    <t>5. Cool and refrigerate</t>
  </si>
  <si>
    <t>Let cool at room temperature for 10–15 minutes.</t>
  </si>
  <si>
    <t>Transfer to fridge for 2–4 hours until set.</t>
  </si>
  <si>
    <t>6. Label and store</t>
  </si>
  <si>
    <t>Cover to prevent drying. Use within 1–2 weeks.</t>
  </si>
  <si>
    <t>Store at 4 °C.</t>
  </si>
  <si>
    <t>1. Measure water and agarose</t>
  </si>
  <si>
    <t>Example: For 3 samples at 20 g/L → 0.77 L water + 15.4 g agarose</t>
  </si>
  <si>
    <t>2. Suspend agarose</t>
  </si>
  <si>
    <t>Mix agarose powder into cold water; stir to eliminate clumps.</t>
  </si>
  <si>
    <t>3. Boil briefly</t>
  </si>
  <si>
    <t>Heat to ~95 °C, stir until fully dissolved and clear (∼2–3 min).</t>
  </si>
  <si>
    <t>4. Cool to 58–60 °C</t>
  </si>
  <si>
    <t>Let cool slightly (warm but pourable). This avoids condensation and premature gelling.</t>
  </si>
  <si>
    <t>5. Pour into molds</t>
  </si>
  <si>
    <t>Distribute into 3 molds (257 mL each).</t>
  </si>
  <si>
    <t>Tap molds to remove air bubbles.</t>
  </si>
  <si>
    <t>6. Set and label</t>
  </si>
  <si>
    <t>Let sit at room temperature 20–30 min, or refrigerate to speed gelation.</t>
  </si>
  <si>
    <t>Label concentrations and cover.</t>
  </si>
  <si>
    <t>7. Store</t>
  </si>
  <si>
    <t>Refrigerate in sealed container.</t>
  </si>
  <si>
    <t>Use within 5–7 days for best mechanical consistency.</t>
  </si>
  <si>
    <t>🧾 Gelatin Step-by-Step (Batch Preparation OK)</t>
  </si>
  <si>
    <t>🧾 Agarose Step-by-Step (Batch Preparation OK)</t>
  </si>
  <si>
    <t>Concentration</t>
  </si>
  <si>
    <t>Agarose (g)</t>
  </si>
  <si>
    <t xml:space="preserve">Young's Modulus </t>
  </si>
  <si>
    <t>Source</t>
  </si>
  <si>
    <t>Method</t>
  </si>
  <si>
    <t>Indentation Depth</t>
  </si>
  <si>
    <t>E (kPa)</t>
  </si>
  <si>
    <t>Sample Notes</t>
  </si>
  <si>
    <t>Pailler-Mattei et al., 2008</t>
  </si>
  <si>
    <t>In vivo indentation with 6.35 mm steel sphere</t>
  </si>
  <si>
    <t>~1 mm</t>
  </si>
  <si>
    <t>7–8</t>
  </si>
  <si>
    <t>Adult female forearm, SC removed by tape-stripping. Shows dermis-dominant response.</t>
  </si>
  <si>
    <t>Delalleau et al., 2006</t>
  </si>
  <si>
    <t>Inverse FE modeling from indentation curves</t>
  </si>
  <si>
    <t>~0.6 mm</t>
  </si>
  <si>
    <t>Inner forearm, assumed linear, isotropic skin elasticity.</t>
  </si>
  <si>
    <t>Elleuch et al., 2006</t>
  </si>
  <si>
    <t>Numerical fit to indentation curves</t>
  </si>
  <si>
    <t>~0.8 mm</t>
  </si>
  <si>
    <t>Forearm, 80 mN normal load; relatively higher E due to partial dermal isolation.</t>
  </si>
  <si>
    <t>Pailler-Mattei et al., 2009</t>
  </si>
  <si>
    <t>~1.4 mm</t>
  </si>
  <si>
    <t>5.2 – 8.8</t>
  </si>
  <si>
    <t>30 y/o female: 8.8 kPa; 60 y/o female: 5.2 kPa (age-dependent stiffness drop).</t>
  </si>
  <si>
    <t>Zahouani et al., 2009</t>
  </si>
  <si>
    <t>Indentation + friction (in vivo)</t>
  </si>
  <si>
    <t>8.3 ± 1.74</t>
  </si>
  <si>
    <t>20 females, age 55–70; inner forearm.</t>
  </si>
  <si>
    <t>Swain &amp; Menčík, 1994 via Kuilenburg</t>
  </si>
  <si>
    <t>Analytical multilayer model</t>
  </si>
  <si>
    <t>--</t>
  </si>
  <si>
    <t>8 – 35</t>
  </si>
  <si>
    <t>Used in theoretical modeling for dermis range (not direct measurement).</t>
  </si>
  <si>
    <t>📊 Summary Table: Young’s Modulus of the Dermis (Human Forearm Skin)</t>
  </si>
  <si>
    <t>✅ Interpreting the Values</t>
  </si>
  <si>
    <t>Modulus Type</t>
  </si>
  <si>
    <t>Value (kPa)</t>
  </si>
  <si>
    <t>Use Case</t>
  </si>
  <si>
    <t>Intrinsic dermis modulus</t>
  </si>
  <si>
    <t>Use when modeling dermis in isolation or using inverse FE analysis.</t>
  </si>
  <si>
    <t>Effective in vivo modulus</t>
  </si>
  <si>
    <t>7 – 15</t>
  </si>
  <si>
    <t>Use when indenting forearm skin ~1 mm deep, capturing dermis + hypodermis.</t>
  </si>
  <si>
    <t>📚 Full References (as cited in van Kuilenburg et al., 2012)</t>
  </si>
  <si>
    <t>1. Pailler-Mattei C, Bec S, Zahouani H.</t>
  </si>
  <si>
    <t>In vivo measurements of the elastic mechanical properties of human skin by indentation tests.</t>
  </si>
  <si>
    <r>
      <t>Medical Engineering &amp; Physics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2008</t>
    </r>
    <r>
      <rPr>
        <sz val="11"/>
        <color theme="1"/>
        <rFont val="Calibri"/>
        <family val="2"/>
        <scheme val="minor"/>
      </rPr>
      <t>, 30(5):599–606.</t>
    </r>
  </si>
  <si>
    <t>[PMID: 17923476]</t>
  </si>
  <si>
    <t>2. Delalleau A, Josse G, Lagarde J-M, Zahouani H, Bergheau J-M.</t>
  </si>
  <si>
    <t>Characterization of the mechanical properties of skin by inverse analysis combined with the indentation test.</t>
  </si>
  <si>
    <r>
      <t>Journal of Biomechanics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2006</t>
    </r>
    <r>
      <rPr>
        <sz val="11"/>
        <color theme="1"/>
        <rFont val="Calibri"/>
        <family val="2"/>
        <scheme val="minor"/>
      </rPr>
      <t>, 39(9):1603–1610.</t>
    </r>
  </si>
  <si>
    <t>[PMID: 16055267]</t>
  </si>
  <si>
    <t>3. Elleuch R, Elleuch K, Zahouani H.</t>
  </si>
  <si>
    <t>Comparison of elastic and tactile behavior of human skin and elastomeric materials through tribological tests.</t>
  </si>
  <si>
    <r>
      <t>Polymer Engineering &amp; Science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2006</t>
    </r>
    <r>
      <rPr>
        <sz val="11"/>
        <color theme="1"/>
        <rFont val="Calibri"/>
        <family val="2"/>
        <scheme val="minor"/>
      </rPr>
      <t>, 46(12):1715–1720.</t>
    </r>
  </si>
  <si>
    <t>4. Pailler-Mattei C, Nicoli S, Pirot F, et al.</t>
  </si>
  <si>
    <t>A new approach to describe the skin surface physical properties in vivo.</t>
  </si>
  <si>
    <r>
      <t>Colloids and Surfaces B: Biointerfaces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2009</t>
    </r>
    <r>
      <rPr>
        <sz val="11"/>
        <color theme="1"/>
        <rFont val="Calibri"/>
        <family val="2"/>
        <scheme val="minor"/>
      </rPr>
      <t>, 68(2):200–206.</t>
    </r>
  </si>
  <si>
    <t>[PMID: 19131287]</t>
  </si>
  <si>
    <t>5. Zahouani H, Pailler-Mattei C, Sohm B, et al.</t>
  </si>
  <si>
    <t>Characterization of the mechanical properties of a dermal equivalent compared with human skin in vivo by indentation and static friction tests.</t>
  </si>
  <si>
    <r>
      <t>Skin Research and Technology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2009</t>
    </r>
    <r>
      <rPr>
        <sz val="11"/>
        <color theme="1"/>
        <rFont val="Calibri"/>
        <family val="2"/>
        <scheme val="minor"/>
      </rPr>
      <t>, 15(1):68–76.</t>
    </r>
  </si>
  <si>
    <t>[PMID: 19250338]</t>
  </si>
  <si>
    <t>6. Johnson SA, Gorman DM, Adams MJ, et al.</t>
  </si>
  <si>
    <t>The friction and lubrication of human stratum corneum.</t>
  </si>
  <si>
    <r>
      <t xml:space="preserve">In: </t>
    </r>
    <r>
      <rPr>
        <i/>
        <sz val="11"/>
        <color theme="1"/>
        <rFont val="Calibri"/>
        <family val="2"/>
        <scheme val="minor"/>
      </rPr>
      <t>Thin Films in Tribology</t>
    </r>
    <r>
      <rPr>
        <sz val="11"/>
        <color theme="1"/>
        <rFont val="Calibri"/>
        <family val="2"/>
        <scheme val="minor"/>
      </rPr>
      <t xml:space="preserve">, Proceedings of the 19th Leeds–Lyon Symposium on Tribology, </t>
    </r>
    <r>
      <rPr>
        <b/>
        <sz val="11"/>
        <color theme="1"/>
        <rFont val="Calibri"/>
        <family val="2"/>
        <scheme val="minor"/>
      </rPr>
      <t>1993</t>
    </r>
    <r>
      <rPr>
        <sz val="11"/>
        <color theme="1"/>
        <rFont val="Calibri"/>
        <family val="2"/>
        <scheme val="minor"/>
      </rPr>
      <t>, pp. 663–672.</t>
    </r>
  </si>
  <si>
    <t>7. Geerligs M, van Breemen L, Peters G, et al.</t>
  </si>
  <si>
    <t>In vitro indentation to determine the mechanical properties of epidermis.</t>
  </si>
  <si>
    <r>
      <t>Journal of Biomechanics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2011</t>
    </r>
    <r>
      <rPr>
        <sz val="11"/>
        <color theme="1"/>
        <rFont val="Calibri"/>
        <family val="2"/>
        <scheme val="minor"/>
      </rPr>
      <t>, 44(6):1176–1181.</t>
    </r>
  </si>
  <si>
    <t>[PMID: 21256170]</t>
  </si>
  <si>
    <t>8. Swain MV, Menčík J.</t>
  </si>
  <si>
    <t>Mechanical property characterization of thin films using spherical tipped indenters.</t>
  </si>
  <si>
    <r>
      <t>Thin Solid Films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1994</t>
    </r>
    <r>
      <rPr>
        <sz val="11"/>
        <color theme="1"/>
        <rFont val="Calibri"/>
        <family val="2"/>
        <scheme val="minor"/>
      </rPr>
      <t>, 253(1–2):204–211.</t>
    </r>
  </si>
  <si>
    <t>9. van Kuilenburg J, Masen MA, van der Heide E.</t>
  </si>
  <si>
    <t>Contact modelling of human skin: What value to use for the modulus of elasticity?</t>
  </si>
  <si>
    <r>
      <t>Proceedings of the IMechE Part J: Journal of Engineering Tribology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2012</t>
    </r>
    <r>
      <rPr>
        <sz val="11"/>
        <color theme="1"/>
        <rFont val="Calibri"/>
        <family val="2"/>
        <scheme val="minor"/>
      </rPr>
      <t>, 227(4):349–361.</t>
    </r>
  </si>
  <si>
    <t>[DOI: 10.1177/1350650112463307]</t>
  </si>
  <si>
    <t>Total</t>
  </si>
  <si>
    <t>Volume(mL)</t>
  </si>
  <si>
    <t>A (cm^2)</t>
  </si>
  <si>
    <t>Displacement</t>
  </si>
  <si>
    <t>Target Force (N)</t>
  </si>
  <si>
    <t>C (g/L)</t>
  </si>
  <si>
    <t>delta h (mm)</t>
  </si>
  <si>
    <t>E cal (kPa)</t>
  </si>
  <si>
    <t>% error F</t>
  </si>
  <si>
    <t>% error E</t>
  </si>
  <si>
    <t>E load cell (kPa)</t>
  </si>
  <si>
    <t>F exp (N)</t>
  </si>
  <si>
    <t>F theory,ref (N)</t>
  </si>
  <si>
    <t>F exp average</t>
  </si>
  <si>
    <t>% error Favg</t>
  </si>
  <si>
    <t>% error Eavg</t>
  </si>
  <si>
    <t>R (cm)</t>
  </si>
  <si>
    <t>ROI Area</t>
  </si>
  <si>
    <t>cm^2</t>
  </si>
  <si>
    <t>ROI Validation</t>
  </si>
  <si>
    <t>AVG</t>
  </si>
  <si>
    <t>%Error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</si>
</sst>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"/>
    <numFmt numFmtId="165" formatCode="0.000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0" fillId="6" borderId="0" xfId="0" applyFill="1" applyAlignment="1">
      <alignment horizontal="left" vertical="center" indent="2"/>
    </xf>
    <xf numFmtId="0" fontId="8" fillId="7" borderId="0" xfId="0" applyFont="1" applyFill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2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/>
    <xf numFmtId="0" fontId="13" fillId="0" borderId="0" xfId="0" applyFont="1"/>
    <xf numFmtId="0" fontId="6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6" fillId="0" borderId="0" xfId="0" applyNumberFormat="1" applyFont="1" applyAlignment="1">
      <alignment vertical="center"/>
    </xf>
    <xf numFmtId="165" fontId="0" fillId="0" borderId="0" xfId="0" applyNumberFormat="1" applyAlignment="1">
      <alignment horizontal="center"/>
    </xf>
    <xf numFmtId="0" fontId="0" fillId="11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1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right"/>
    </xf>
    <xf numFmtId="16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65" fontId="6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4FAEC7F-B607-435F-BC90-1C9F6EF5CE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Concentration &amp;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Displacement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3417947756530436"/>
                  <c:y val="-1.475281926862816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/>
                      <a:t>y = -0.1223x + 1.7365</a:t>
                    </a:r>
                    <a:br>
                      <a:rPr lang="en-US" sz="1050" baseline="0"/>
                    </a:br>
                    <a:r>
                      <a:rPr lang="en-US" sz="1050" baseline="0"/>
                      <a:t>R² = 0.9642</a:t>
                    </a:r>
                    <a:endParaRPr lang="en-US" sz="1050"/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'Jet Impingement'!$E$2:$E$8</c:f>
              <c:numCache>
                <c:formatCode>General</c:formatCode>
                <c:ptCount val="7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7</c:v>
                </c:pt>
                <c:pt idx="5">
                  <c:v>8.75</c:v>
                </c:pt>
                <c:pt idx="6">
                  <c:v>10.5</c:v>
                </c:pt>
              </c:numCache>
            </c:numRef>
          </c:xVal>
          <c:yVal>
            <c:numRef>
              <c:f>'Jet Impingement'!$F$2:$F$8</c:f>
              <c:numCache>
                <c:formatCode>General</c:formatCode>
                <c:ptCount val="7"/>
                <c:pt idx="0">
                  <c:v>1.2649999999999999</c:v>
                </c:pt>
                <c:pt idx="1">
                  <c:v>1.097</c:v>
                </c:pt>
                <c:pt idx="2">
                  <c:v>1.022</c:v>
                </c:pt>
                <c:pt idx="3">
                  <c:v>0.96099999999999997</c:v>
                </c:pt>
                <c:pt idx="4">
                  <c:v>0.86899999999999999</c:v>
                </c:pt>
                <c:pt idx="5">
                  <c:v>0.73399999999999999</c:v>
                </c:pt>
                <c:pt idx="6">
                  <c:v>0.42899999999999999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C6-4C3F-A3B5-35CF34027D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13386303"/>
        <c:axId val="1613382463"/>
      </c:scatterChart>
      <c:valAx>
        <c:axId val="1613386303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82463"/>
        <c:crosses val="autoZero"/>
        <c:crossBetween val="midCat"/>
      </c:valAx>
      <c:valAx>
        <c:axId val="161338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86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Concentration &amp;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9840901844181505"/>
                  <c:y val="0.13971313489486301"/>
                </c:manualLayout>
              </c:layout>
              <c:numFmt formatCode="General" sourceLinked="0"/>
              <c:spPr>
                <a:noFill/>
                <a:ln w="1905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'Jet Impingement'!$E$2:$E$8</c:f>
              <c:numCache>
                <c:formatCode>General</c:formatCode>
                <c:ptCount val="7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7</c:v>
                </c:pt>
                <c:pt idx="5">
                  <c:v>8.75</c:v>
                </c:pt>
                <c:pt idx="6">
                  <c:v>10.5</c:v>
                </c:pt>
              </c:numCache>
            </c:numRef>
          </c:xVal>
          <c:yVal>
            <c:numRef>
              <c:f>'Jet Impingement'!$G$2:$G$8</c:f>
              <c:numCache>
                <c:formatCode>0.000</c:formatCode>
                <c:ptCount val="7"/>
                <c:pt idx="0">
                  <c:v>0.80327499999999996</c:v>
                </c:pt>
                <c:pt idx="1">
                  <c:v>0.78983999999999999</c:v>
                </c:pt>
                <c:pt idx="2">
                  <c:v>0.78183000000000002</c:v>
                </c:pt>
                <c:pt idx="3">
                  <c:v>0.79282499999999989</c:v>
                </c:pt>
                <c:pt idx="4">
                  <c:v>0.90810499999999994</c:v>
                </c:pt>
                <c:pt idx="5">
                  <c:v>1.0899899999999998</c:v>
                </c:pt>
                <c:pt idx="6">
                  <c:v>0.877305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62-498A-8C0F-F68A5E2E2E36}"/>
            </c:ext>
          </c:extLst>
        </c:ser>
        <c:ser>
          <c:idx val="1"/>
          <c:order val="1"/>
          <c:tx>
            <c:v>Thoery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'Jet Impingement'!$E$2:$E$8</c:f>
              <c:numCache>
                <c:formatCode>General</c:formatCode>
                <c:ptCount val="7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7</c:v>
                </c:pt>
                <c:pt idx="5">
                  <c:v>8.75</c:v>
                </c:pt>
                <c:pt idx="6">
                  <c:v>10.5</c:v>
                </c:pt>
              </c:numCache>
            </c:numRef>
          </c:xVal>
          <c:yVal>
            <c:numRef>
              <c:f>'Jet Impingement'!$H$2:$H$8</c:f>
              <c:numCache>
                <c:formatCode>0.000</c:formatCode>
                <c:ptCount val="7"/>
                <c:pt idx="0">
                  <c:v>0.92686890611582562</c:v>
                </c:pt>
                <c:pt idx="1">
                  <c:v>0.92686890611582562</c:v>
                </c:pt>
                <c:pt idx="2">
                  <c:v>0.92686890611582562</c:v>
                </c:pt>
                <c:pt idx="3">
                  <c:v>0.92686890611582562</c:v>
                </c:pt>
                <c:pt idx="4">
                  <c:v>0.92686890611582562</c:v>
                </c:pt>
                <c:pt idx="5">
                  <c:v>0.92686890611582562</c:v>
                </c:pt>
                <c:pt idx="6">
                  <c:v>0.92686890611582562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62-498A-8C0F-F68A5E2E2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629183"/>
        <c:axId val="1357624863"/>
      </c:scatterChart>
      <c:valAx>
        <c:axId val="1357629183"/>
        <c:scaling>
          <c:orientation val="minMax"/>
          <c:max val="11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24863"/>
        <c:crosses val="autoZero"/>
        <c:crossBetween val="midCat"/>
      </c:valAx>
      <c:valAx>
        <c:axId val="135762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29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Concentration &amp; young's 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7887146506514049"/>
                  <c:y val="-2.753899338620028E-3"/>
                </c:manualLayout>
              </c:layout>
              <c:numFmt formatCode="General" sourceLinked="0"/>
              <c:spPr>
                <a:noFill/>
                <a:ln w="1905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'Jet Impingement'!$E$2:$E$8</c:f>
              <c:numCache>
                <c:formatCode>General</c:formatCode>
                <c:ptCount val="7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7</c:v>
                </c:pt>
                <c:pt idx="5">
                  <c:v>8.75</c:v>
                </c:pt>
                <c:pt idx="6">
                  <c:v>10.5</c:v>
                </c:pt>
              </c:numCache>
            </c:numRef>
          </c:xVal>
          <c:yVal>
            <c:numRef>
              <c:f>'Jet Impingement'!$K$2:$K$8</c:f>
              <c:numCache>
                <c:formatCode>0.0</c:formatCode>
                <c:ptCount val="7"/>
                <c:pt idx="0">
                  <c:v>13.64916996047431</c:v>
                </c:pt>
                <c:pt idx="1">
                  <c:v>15.739471285323612</c:v>
                </c:pt>
                <c:pt idx="2">
                  <c:v>16.894520547945206</c:v>
                </c:pt>
                <c:pt idx="3">
                  <c:v>17.966909469302809</c:v>
                </c:pt>
                <c:pt idx="4">
                  <c:v>19.869044879171462</c:v>
                </c:pt>
                <c:pt idx="5">
                  <c:v>23.523433242506812</c:v>
                </c:pt>
                <c:pt idx="6">
                  <c:v>40.247552447552451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57-44FE-8863-6086CDC5AA3F}"/>
            </c:ext>
          </c:extLst>
        </c:ser>
        <c:ser>
          <c:idx val="1"/>
          <c:order val="1"/>
          <c:tx>
            <c:v>Thoery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'Jet Impingement'!$E$2:$E$8</c:f>
              <c:numCache>
                <c:formatCode>General</c:formatCode>
                <c:ptCount val="7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7</c:v>
                </c:pt>
                <c:pt idx="5">
                  <c:v>8.75</c:v>
                </c:pt>
                <c:pt idx="6">
                  <c:v>10.5</c:v>
                </c:pt>
              </c:numCache>
            </c:numRef>
          </c:xVal>
          <c:yVal>
            <c:numRef>
              <c:f>'Jet Impingement'!$J$2:$J$8</c:f>
              <c:numCache>
                <c:formatCode>General</c:formatCode>
                <c:ptCount val="7"/>
                <c:pt idx="0">
                  <c:v>12.7</c:v>
                </c:pt>
                <c:pt idx="1">
                  <c:v>14.4</c:v>
                </c:pt>
                <c:pt idx="2">
                  <c:v>15.3</c:v>
                </c:pt>
                <c:pt idx="3">
                  <c:v>16.5</c:v>
                </c:pt>
                <c:pt idx="4">
                  <c:v>20.9</c:v>
                </c:pt>
                <c:pt idx="5">
                  <c:v>29.7</c:v>
                </c:pt>
                <c:pt idx="6">
                  <c:v>40.9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57-44FE-8863-6086CDC5A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629183"/>
        <c:axId val="1357624863"/>
      </c:scatterChart>
      <c:valAx>
        <c:axId val="1357629183"/>
        <c:scaling>
          <c:orientation val="minMax"/>
          <c:max val="11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24863"/>
        <c:crosses val="autoZero"/>
        <c:crossBetween val="midCat"/>
      </c:valAx>
      <c:valAx>
        <c:axId val="135762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Young's modulus</a:t>
                </a:r>
                <a:r>
                  <a:rPr lang="en-US" baseline="0"/>
                  <a:t>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29183"/>
        <c:crosses val="autoZero"/>
        <c:crossBetween val="midCat"/>
        <c:majorUnit val="9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AREA &amp;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Displacement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0221271627242357"/>
                  <c:y val="-9.323146569393368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/>
                      <a:t>y = -0.1223x + 1.7365</a:t>
                    </a:r>
                    <a:br>
                      <a:rPr lang="en-US" sz="1050" baseline="0"/>
                    </a:br>
                    <a:r>
                      <a:rPr lang="en-US" sz="1050" baseline="0"/>
                      <a:t>R² = 0.9642</a:t>
                    </a:r>
                    <a:endParaRPr lang="en-US" sz="1050"/>
                  </a:p>
                </c:rich>
              </c:tx>
              <c:numFmt formatCode="General" sourceLinked="0"/>
              <c:spPr>
                <a:noFill/>
                <a:ln w="1905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power"/>
            <c:dispRSqr val="0"/>
            <c:dispEq val="0"/>
          </c:trendline>
          <c:xVal>
            <c:numRef>
              <c:f>'Jet Impingement'!$N$17:$N$21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'Jet Impingement'!$O$17:$O$21</c:f>
              <c:numCache>
                <c:formatCode>General</c:formatCode>
                <c:ptCount val="5"/>
                <c:pt idx="0">
                  <c:v>0.96099999999999997</c:v>
                </c:pt>
                <c:pt idx="1">
                  <c:v>0.92600000000000005</c:v>
                </c:pt>
                <c:pt idx="2">
                  <c:v>0.96299999999999997</c:v>
                </c:pt>
                <c:pt idx="3">
                  <c:v>0.90800000000000003</c:v>
                </c:pt>
                <c:pt idx="4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C6-4C3F-A3B5-35CF34027D8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13386303"/>
        <c:axId val="1613382463"/>
      </c:scatterChart>
      <c:valAx>
        <c:axId val="1613386303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ROI AREA (cm^2)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82463"/>
        <c:crosses val="autoZero"/>
        <c:crossBetween val="midCat"/>
      </c:valAx>
      <c:valAx>
        <c:axId val="1613382463"/>
        <c:scaling>
          <c:orientation val="minMax"/>
          <c:max val="1.3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86303"/>
        <c:crosses val="autoZero"/>
        <c:crossBetween val="midCat"/>
        <c:majorUnit val="0.12000000000000001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863413</xdr:colOff>
      <xdr:row>15</xdr:row>
      <xdr:rowOff>157722</xdr:rowOff>
    </xdr:from>
    <xdr:ext cx="77566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48D32B9-3FED-6033-EDB1-5121A5EA2606}"/>
                </a:ext>
              </a:extLst>
            </xdr:cNvPr>
            <xdr:cNvSpPr txBox="1"/>
          </xdr:nvSpPr>
          <xdr:spPr>
            <a:xfrm>
              <a:off x="3373531" y="1883428"/>
              <a:ext cx="77566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e</m:t>
                        </m:r>
                      </m:sub>
                    </m:sSub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m:rPr>
                            <m:nor/>
                          </m:rPr>
                          <a:rPr lang="el-GR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γ</m:t>
                        </m:r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𝑎𝑖𝑟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b>
                        </m:sSub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48D32B9-3FED-6033-EDB1-5121A5EA2606}"/>
                </a:ext>
              </a:extLst>
            </xdr:cNvPr>
            <xdr:cNvSpPr txBox="1"/>
          </xdr:nvSpPr>
          <xdr:spPr>
            <a:xfrm>
              <a:off x="3373531" y="1883428"/>
              <a:ext cx="77566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U_e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√(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"γ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𝑅_𝑎𝑖𝑟 𝑇_𝑒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981075</xdr:colOff>
      <xdr:row>14</xdr:row>
      <xdr:rowOff>128587</xdr:rowOff>
    </xdr:from>
    <xdr:ext cx="44217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2C91D38-9D2E-4A03-43CF-C5EA33721F80}"/>
                </a:ext>
              </a:extLst>
            </xdr:cNvPr>
            <xdr:cNvSpPr txBox="1"/>
          </xdr:nvSpPr>
          <xdr:spPr>
            <a:xfrm>
              <a:off x="3495675" y="700087"/>
              <a:ext cx="4421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≈ 6</m:t>
                    </m:r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d</m:t>
                    </m:r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2C91D38-9D2E-4A03-43CF-C5EA33721F80}"/>
                </a:ext>
              </a:extLst>
            </xdr:cNvPr>
            <xdr:cNvSpPr txBox="1"/>
          </xdr:nvSpPr>
          <xdr:spPr>
            <a:xfrm>
              <a:off x="3495675" y="700087"/>
              <a:ext cx="4421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rtl="0" eaLnBrk="1" latinLnBrk="0" hangingPunct="1"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𝑐 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"≈ 6d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2</xdr:col>
      <xdr:colOff>857250</xdr:colOff>
      <xdr:row>16</xdr:row>
      <xdr:rowOff>33337</xdr:rowOff>
    </xdr:from>
    <xdr:ext cx="858440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9AE53E6-B338-DF00-84AE-9033B8AAAB66}"/>
                </a:ext>
              </a:extLst>
            </xdr:cNvPr>
            <xdr:cNvSpPr txBox="1"/>
          </xdr:nvSpPr>
          <xdr:spPr>
            <a:xfrm>
              <a:off x="3371850" y="1366837"/>
              <a:ext cx="85844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sub>
                    </m:sSub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𝑥</m:t>
                    </m:r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)≈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b>
                    </m:sSub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</m:num>
                      <m:den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9AE53E6-B338-DF00-84AE-9033B8AAAB66}"/>
                </a:ext>
              </a:extLst>
            </xdr:cNvPr>
            <xdr:cNvSpPr txBox="1"/>
          </xdr:nvSpPr>
          <xdr:spPr>
            <a:xfrm>
              <a:off x="3371850" y="1366837"/>
              <a:ext cx="85844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𝑈_𝑐 (𝑥)≈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𝑐/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952500</xdr:colOff>
      <xdr:row>19</xdr:row>
      <xdr:rowOff>70316</xdr:rowOff>
    </xdr:from>
    <xdr:ext cx="555024" cy="3266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F16BAE-E0D0-4442-F206-5996D3FC502C}"/>
                </a:ext>
              </a:extLst>
            </xdr:cNvPr>
            <xdr:cNvSpPr txBox="1"/>
          </xdr:nvSpPr>
          <xdr:spPr>
            <a:xfrm>
              <a:off x="3462618" y="7869610"/>
              <a:ext cx="555024" cy="326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l-GR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π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</m:t>
                                </m:r>
                              </m:e>
                              <m:sub>
                                <m:r>
                                  <a:rPr lang="en-US" sz="1100" b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𝑖𝑚𝑝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F16BAE-E0D0-4442-F206-5996D3FC502C}"/>
                </a:ext>
              </a:extLst>
            </xdr:cNvPr>
            <xdr:cNvSpPr txBox="1"/>
          </xdr:nvSpPr>
          <xdr:spPr>
            <a:xfrm>
              <a:off x="3462618" y="7869610"/>
              <a:ext cx="555024" cy="3266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rtl="0" eaLnBrk="1" latinLnBrk="0" hangingPunct="1"/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"π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𝑑_𝑖𝑚𝑝/2)〗^2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2</xdr:col>
      <xdr:colOff>722219</xdr:colOff>
      <xdr:row>20</xdr:row>
      <xdr:rowOff>17648</xdr:rowOff>
    </xdr:from>
    <xdr:ext cx="1003673" cy="382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E0DEDA0-1693-4595-A27D-6968A2B1805C}"/>
                </a:ext>
              </a:extLst>
            </xdr:cNvPr>
            <xdr:cNvSpPr txBox="1"/>
          </xdr:nvSpPr>
          <xdr:spPr>
            <a:xfrm>
              <a:off x="3232337" y="4152619"/>
              <a:ext cx="1003673" cy="382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e</m:t>
                        </m:r>
                      </m:sub>
                    </m:sSub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o</m:t>
                        </m:r>
                      </m:sub>
                    </m:sSub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f>
                          <m:f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num>
                          <m:den>
                            <m:r>
                              <m:rPr>
                                <m:nor/>
                              </m:rPr>
                              <a:rPr lang="el-GR" sz="1100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γ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+1</m:t>
                            </m:r>
                          </m:den>
                        </m:f>
                        <m:r>
                          <m:rPr>
                            <m:nor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f>
                          <m:f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m:rPr>
                                <m:nor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m:rPr>
                                <m:nor/>
                              </m:rPr>
                              <a:rPr lang="el-GR" sz="1100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γ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E0DEDA0-1693-4595-A27D-6968A2B1805C}"/>
                </a:ext>
              </a:extLst>
            </xdr:cNvPr>
            <xdr:cNvSpPr txBox="1"/>
          </xdr:nvSpPr>
          <xdr:spPr>
            <a:xfrm>
              <a:off x="3232337" y="4152619"/>
              <a:ext cx="1003673" cy="382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𝜌_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𝜌_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o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2/(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γ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+1) ")" 〗^(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"1" /(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−1))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1000125</xdr:colOff>
      <xdr:row>21</xdr:row>
      <xdr:rowOff>61912</xdr:rowOff>
    </xdr:from>
    <xdr:ext cx="428900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E42415D-85DB-5181-40BF-8052DCB1F7E5}"/>
                </a:ext>
              </a:extLst>
            </xdr:cNvPr>
            <xdr:cNvSpPr txBox="1"/>
          </xdr:nvSpPr>
          <xdr:spPr>
            <a:xfrm>
              <a:off x="3514725" y="3300412"/>
              <a:ext cx="42890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e</m:t>
                        </m:r>
                      </m:sub>
                    </m:sSub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sub>
                      <m:sup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E42415D-85DB-5181-40BF-8052DCB1F7E5}"/>
                </a:ext>
              </a:extLst>
            </xdr:cNvPr>
            <xdr:cNvSpPr txBox="1"/>
          </xdr:nvSpPr>
          <xdr:spPr>
            <a:xfrm>
              <a:off x="3514725" y="3300412"/>
              <a:ext cx="42890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rtl="0" eaLnBrk="1" latinLnBrk="0" hangingPunct="1"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1/2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𝜌_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 𝑈_𝑐^2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1604121</xdr:colOff>
      <xdr:row>21</xdr:row>
      <xdr:rowOff>471487</xdr:rowOff>
    </xdr:from>
    <xdr:ext cx="3460937" cy="5016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A6790A1-3B19-B0A2-B077-5E0212E335C1}"/>
                </a:ext>
              </a:extLst>
            </xdr:cNvPr>
            <xdr:cNvSpPr txBox="1"/>
          </xdr:nvSpPr>
          <xdr:spPr>
            <a:xfrm>
              <a:off x="2209239" y="9234487"/>
              <a:ext cx="3460937" cy="501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</m:d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e>
                      <m:sub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𝜌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e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𝑘𝑟</m:t>
                            </m:r>
                          </m:e>
                        </m:d>
                      </m:e>
                      <m:sup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 b="0" i="0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𝑤𝑖𝑡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h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𝑘</m:t>
                    </m:r>
                    <m:r>
                      <a:rPr lang="en-US" sz="11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≈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sub>
                    </m:sSub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/(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e>
                      <m:sub>
                        <m:r>
                          <a:rPr lang="en-US" sz="1100" b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𝑖𝑚𝑝</m:t>
                        </m:r>
                      </m:sub>
                    </m:sSub>
                    <m:r>
                      <a:rPr lang="en-US" sz="1100" b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/2)</m:t>
                    </m:r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A6790A1-3B19-B0A2-B077-5E0212E335C1}"/>
                </a:ext>
              </a:extLst>
            </xdr:cNvPr>
            <xdr:cNvSpPr txBox="1"/>
          </xdr:nvSpPr>
          <xdr:spPr>
            <a:xfrm>
              <a:off x="2209239" y="9234487"/>
              <a:ext cx="3460937" cy="501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rtl="0" eaLnBrk="1" latinLnBrk="0" hangingPunct="1"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𝑝(𝑟)= 𝑝_𝑡−  1/2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𝜌_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 (𝑘𝑟)^2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  <a:p>
              <a:pPr rtl="0" eaLnBrk="1" latinLnBrk="0" hangingPunct="1"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𝑤𝑖𝑡ℎ 𝑘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≈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𝑈_𝑐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𝑑_𝑖𝑚𝑝/2)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twoCellAnchor>
    <xdr:from>
      <xdr:col>6</xdr:col>
      <xdr:colOff>197922</xdr:colOff>
      <xdr:row>9</xdr:row>
      <xdr:rowOff>321623</xdr:rowOff>
    </xdr:from>
    <xdr:to>
      <xdr:col>11</xdr:col>
      <xdr:colOff>622960</xdr:colOff>
      <xdr:row>17</xdr:row>
      <xdr:rowOff>19192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D0F103-788D-4434-9A5E-1D2383DB5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175025</xdr:colOff>
      <xdr:row>17</xdr:row>
      <xdr:rowOff>157394</xdr:rowOff>
    </xdr:from>
    <xdr:to>
      <xdr:col>12</xdr:col>
      <xdr:colOff>544620</xdr:colOff>
      <xdr:row>24</xdr:row>
      <xdr:rowOff>351704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403125-B527-43C0-9778-5D9CCBC29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292167</xdr:colOff>
      <xdr:row>4</xdr:row>
      <xdr:rowOff>208021</xdr:rowOff>
    </xdr:from>
    <xdr:to>
      <xdr:col>20</xdr:col>
      <xdr:colOff>1107859</xdr:colOff>
      <xdr:row>11</xdr:row>
      <xdr:rowOff>251852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09033C-22F9-4854-9049-9C2A745A0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320385</xdr:colOff>
      <xdr:row>12</xdr:row>
      <xdr:rowOff>348838</xdr:rowOff>
    </xdr:from>
    <xdr:to>
      <xdr:col>20</xdr:col>
      <xdr:colOff>105887</xdr:colOff>
      <xdr:row>20</xdr:row>
      <xdr:rowOff>73621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CDA5C90-32A9-BEC1-D9D3-0982357A1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A68E-FE52-4F38-802D-0459B2090290}">
  <dimension ref="B1:T29"/>
  <sheetViews>
    <sheetView tabSelected="1" topLeftCell="E10" zoomScale="70" zoomScaleNormal="70" workbookViewId="0">
      <selection activeCell="Z14" sqref="Z14"/>
    </sheetView>
  </sheetViews>
  <sheetFormatPr defaultRowHeight="15" x14ac:dyDescent="0.25"/>
  <cols>
    <col min="2" max="2" width="28.5703125" bestFit="1" customWidth="1"/>
    <col min="3" max="3" width="37" bestFit="1" customWidth="1"/>
    <col min="4" max="4" width="13.85546875" bestFit="1" customWidth="1"/>
    <col min="5" max="12" width="15.5703125" customWidth="1"/>
    <col min="14" max="14" width="23.140625" bestFit="1" customWidth="1"/>
    <col min="15" max="15" width="26.7109375" customWidth="1"/>
    <col min="16" max="16" width="25" bestFit="1" customWidth="1"/>
    <col min="17" max="17" width="23.140625" customWidth="1"/>
    <col min="18" max="18" width="18.7109375" customWidth="1"/>
    <col min="19" max="19" width="19.85546875" customWidth="1"/>
    <col min="20" max="21" width="25.42578125" bestFit="1" customWidth="1"/>
  </cols>
  <sheetData>
    <row r="1" spans="2:20" ht="29.45" customHeight="1" x14ac:dyDescent="0.25">
      <c r="E1" s="58" t="s">
        <v>157</v>
      </c>
      <c r="F1" s="58" t="s">
        <v>158</v>
      </c>
      <c r="G1" s="58" t="s">
        <v>163</v>
      </c>
      <c r="H1" s="58" t="s">
        <v>164</v>
      </c>
      <c r="I1" s="58" t="s">
        <v>160</v>
      </c>
      <c r="J1" s="58" t="s">
        <v>162</v>
      </c>
      <c r="K1" s="58" t="s">
        <v>159</v>
      </c>
      <c r="L1" s="58" t="s">
        <v>161</v>
      </c>
      <c r="M1" s="36"/>
      <c r="N1" s="69" t="s">
        <v>169</v>
      </c>
      <c r="O1" s="69"/>
      <c r="P1" s="69"/>
      <c r="Q1" s="69"/>
    </row>
    <row r="2" spans="2:20" ht="38.25" customHeight="1" x14ac:dyDescent="0.25">
      <c r="B2" s="3" t="s">
        <v>9</v>
      </c>
      <c r="C2" s="3">
        <v>2</v>
      </c>
      <c r="E2" s="5">
        <v>4.5</v>
      </c>
      <c r="F2" s="5">
        <v>1.2649999999999999</v>
      </c>
      <c r="G2" s="59">
        <f t="shared" ref="G2:G8" si="0">($O$2/10)*J2*(F2/$C$11)</f>
        <v>0.80327499999999996</v>
      </c>
      <c r="H2" s="59">
        <f>$C$27</f>
        <v>0.92686890611582562</v>
      </c>
      <c r="I2" s="59">
        <f t="shared" ref="I2:I8" si="1">(ABS(G2-H2)/H2)*100</f>
        <v>13.334561694788455</v>
      </c>
      <c r="J2" s="5">
        <v>12.7</v>
      </c>
      <c r="K2" s="60">
        <f t="shared" ref="K2:K8" si="2">($G$9*10/$O$2)*($C$11/F2)</f>
        <v>13.64916996047431</v>
      </c>
      <c r="L2" s="60">
        <f t="shared" ref="L2:L8" si="3">ABS((J2-K2)/J2)*100</f>
        <v>7.4737792163331598</v>
      </c>
      <c r="M2" s="57"/>
      <c r="N2" s="5" t="s">
        <v>154</v>
      </c>
      <c r="O2" s="5">
        <v>10</v>
      </c>
      <c r="P2" s="5" t="s">
        <v>168</v>
      </c>
      <c r="Q2" s="59">
        <f>(O2/PI())^0.5</f>
        <v>1.7841241161527712</v>
      </c>
    </row>
    <row r="3" spans="2:20" ht="38.25" customHeight="1" x14ac:dyDescent="0.25">
      <c r="B3" s="3" t="s">
        <v>10</v>
      </c>
      <c r="C3" s="3">
        <v>0.5</v>
      </c>
      <c r="E3" s="5">
        <v>5</v>
      </c>
      <c r="F3" s="5">
        <v>1.097</v>
      </c>
      <c r="G3" s="59">
        <f t="shared" si="0"/>
        <v>0.78983999999999999</v>
      </c>
      <c r="H3" s="59">
        <f t="shared" ref="H3:H8" si="4">$C$27</f>
        <v>0.92686890611582562</v>
      </c>
      <c r="I3" s="59">
        <f t="shared" si="1"/>
        <v>14.784065493152049</v>
      </c>
      <c r="J3" s="5">
        <v>14.4</v>
      </c>
      <c r="K3" s="60">
        <f t="shared" si="2"/>
        <v>15.739471285323612</v>
      </c>
      <c r="L3" s="60">
        <f t="shared" si="3"/>
        <v>9.3018839258584141</v>
      </c>
      <c r="M3" s="57"/>
      <c r="N3" s="36"/>
      <c r="O3" s="70"/>
      <c r="P3" s="55"/>
    </row>
    <row r="4" spans="2:20" ht="38.25" customHeight="1" x14ac:dyDescent="0.25">
      <c r="B4" s="3" t="s">
        <v>18</v>
      </c>
      <c r="C4" s="3">
        <v>0.9</v>
      </c>
      <c r="E4" s="5">
        <v>5.5</v>
      </c>
      <c r="F4" s="5">
        <v>1.022</v>
      </c>
      <c r="G4" s="59">
        <f t="shared" si="0"/>
        <v>0.78183000000000002</v>
      </c>
      <c r="H4" s="59">
        <f t="shared" si="4"/>
        <v>0.92686890611582562</v>
      </c>
      <c r="I4" s="59">
        <f t="shared" si="1"/>
        <v>15.648265375912922</v>
      </c>
      <c r="J4" s="5">
        <v>15.3</v>
      </c>
      <c r="K4" s="60">
        <f t="shared" si="2"/>
        <v>16.894520547945206</v>
      </c>
      <c r="L4" s="60">
        <f t="shared" si="3"/>
        <v>10.421702927746438</v>
      </c>
      <c r="M4" s="57"/>
      <c r="N4" s="17" t="s">
        <v>74</v>
      </c>
      <c r="O4" s="46" t="s">
        <v>75</v>
      </c>
      <c r="P4" s="16" t="s">
        <v>76</v>
      </c>
      <c r="Q4" s="50">
        <v>210</v>
      </c>
      <c r="R4" s="50" t="s">
        <v>153</v>
      </c>
    </row>
    <row r="5" spans="2:20" ht="38.25" customHeight="1" x14ac:dyDescent="0.25">
      <c r="B5" s="7" t="s">
        <v>19</v>
      </c>
      <c r="C5" s="3">
        <v>0.1</v>
      </c>
      <c r="E5" s="5">
        <v>6</v>
      </c>
      <c r="F5" s="5">
        <v>0.96099999999999997</v>
      </c>
      <c r="G5" s="59">
        <f t="shared" si="0"/>
        <v>0.79282499999999989</v>
      </c>
      <c r="H5" s="59">
        <f t="shared" si="4"/>
        <v>0.92686890611582562</v>
      </c>
      <c r="I5" s="59">
        <f t="shared" si="1"/>
        <v>14.462013476917198</v>
      </c>
      <c r="J5" s="5">
        <v>16.5</v>
      </c>
      <c r="K5" s="60">
        <f t="shared" si="2"/>
        <v>17.966909469302809</v>
      </c>
      <c r="L5" s="60">
        <f t="shared" si="3"/>
        <v>8.8903604200170268</v>
      </c>
      <c r="M5" s="57"/>
      <c r="N5" s="15">
        <v>4.5</v>
      </c>
      <c r="O5" s="47">
        <f>N5*$Q$4/1000</f>
        <v>0.94499999999999995</v>
      </c>
      <c r="P5" s="18">
        <f>1.22*N5^1.48</f>
        <v>11.300934325514644</v>
      </c>
      <c r="Q5" s="54"/>
    </row>
    <row r="6" spans="2:20" ht="38.25" customHeight="1" x14ac:dyDescent="0.25">
      <c r="B6" s="7" t="s">
        <v>7</v>
      </c>
      <c r="C6" s="3">
        <v>1.4</v>
      </c>
      <c r="E6" s="5">
        <v>7</v>
      </c>
      <c r="F6" s="5">
        <v>0.86899999999999999</v>
      </c>
      <c r="G6" s="59">
        <f t="shared" si="0"/>
        <v>0.90810499999999994</v>
      </c>
      <c r="H6" s="59">
        <f t="shared" si="4"/>
        <v>0.92686890611582562</v>
      </c>
      <c r="I6" s="59">
        <f t="shared" si="1"/>
        <v>2.0244401330128188</v>
      </c>
      <c r="J6" s="5">
        <v>20.9</v>
      </c>
      <c r="K6" s="60">
        <f t="shared" si="2"/>
        <v>19.869044879171462</v>
      </c>
      <c r="L6" s="60">
        <f t="shared" si="3"/>
        <v>4.9327996211891723</v>
      </c>
      <c r="M6" s="57"/>
      <c r="N6" s="15">
        <v>5</v>
      </c>
      <c r="O6" s="47">
        <f>N6*$Q$4/1000</f>
        <v>1.05</v>
      </c>
      <c r="P6" s="18">
        <f t="shared" ref="P6:P11" si="5">1.22*N6^1.48</f>
        <v>13.207950635585938</v>
      </c>
      <c r="Q6" s="54"/>
    </row>
    <row r="7" spans="2:20" ht="38.25" customHeight="1" x14ac:dyDescent="0.25">
      <c r="B7" s="7" t="s">
        <v>6</v>
      </c>
      <c r="C7" s="3">
        <v>287</v>
      </c>
      <c r="E7" s="5">
        <v>8.75</v>
      </c>
      <c r="F7" s="5">
        <v>0.73399999999999999</v>
      </c>
      <c r="G7" s="59">
        <f t="shared" si="0"/>
        <v>1.0899899999999998</v>
      </c>
      <c r="H7" s="59">
        <f t="shared" si="4"/>
        <v>0.92686890611582562</v>
      </c>
      <c r="I7" s="59">
        <f t="shared" si="1"/>
        <v>17.599154832775223</v>
      </c>
      <c r="J7" s="5">
        <v>29.7</v>
      </c>
      <c r="K7" s="60">
        <f t="shared" si="2"/>
        <v>23.523433242506812</v>
      </c>
      <c r="L7" s="60">
        <f t="shared" si="3"/>
        <v>20.796521069000633</v>
      </c>
      <c r="M7" s="71"/>
      <c r="N7" s="15">
        <v>5.5</v>
      </c>
      <c r="O7" s="47">
        <f>N7*$Q$4/1000</f>
        <v>1.155</v>
      </c>
      <c r="P7" s="18">
        <f t="shared" si="5"/>
        <v>15.208858212747833</v>
      </c>
      <c r="Q7" s="54"/>
      <c r="S7" s="74"/>
      <c r="T7" s="73"/>
    </row>
    <row r="8" spans="2:20" ht="38.25" customHeight="1" x14ac:dyDescent="0.25">
      <c r="B8" s="7" t="s">
        <v>4</v>
      </c>
      <c r="C8" s="3">
        <v>295</v>
      </c>
      <c r="E8" s="5">
        <v>10.5</v>
      </c>
      <c r="F8" s="5">
        <v>0.42899999999999999</v>
      </c>
      <c r="G8" s="59">
        <f t="shared" si="0"/>
        <v>0.877305</v>
      </c>
      <c r="H8" s="59">
        <f t="shared" si="4"/>
        <v>0.92686890611582562</v>
      </c>
      <c r="I8" s="59">
        <f t="shared" si="1"/>
        <v>5.3474559119185621</v>
      </c>
      <c r="J8" s="5">
        <v>40.9</v>
      </c>
      <c r="K8" s="60">
        <f t="shared" si="2"/>
        <v>40.247552447552451</v>
      </c>
      <c r="L8" s="60">
        <f t="shared" si="3"/>
        <v>1.5952262896028062</v>
      </c>
      <c r="M8" s="71"/>
      <c r="N8" s="15">
        <v>6</v>
      </c>
      <c r="O8" s="47">
        <f>N8*$Q$4/1000</f>
        <v>1.26</v>
      </c>
      <c r="P8" s="18">
        <f t="shared" si="5"/>
        <v>17.299106853447906</v>
      </c>
      <c r="Q8" s="54"/>
      <c r="S8" s="75"/>
      <c r="T8" s="75"/>
    </row>
    <row r="9" spans="2:20" ht="38.25" customHeight="1" x14ac:dyDescent="0.25">
      <c r="B9" s="7" t="s">
        <v>5</v>
      </c>
      <c r="C9" s="8">
        <f>C8*((2/(C6+1)))</f>
        <v>245.83333333333334</v>
      </c>
      <c r="E9" s="62" t="s">
        <v>165</v>
      </c>
      <c r="F9" s="63"/>
      <c r="G9" s="61">
        <f>AVERAGE(G2:G8)</f>
        <v>0.86331000000000002</v>
      </c>
      <c r="H9" s="5" t="s">
        <v>166</v>
      </c>
      <c r="I9" s="61">
        <f>AVERAGE(I2:I8)</f>
        <v>11.885708131211032</v>
      </c>
      <c r="J9" s="64" t="s">
        <v>167</v>
      </c>
      <c r="K9" s="65"/>
      <c r="L9" s="61">
        <f>AVERAGE(L2:L8)</f>
        <v>9.0588962099639492</v>
      </c>
      <c r="M9" s="72"/>
      <c r="N9" s="15">
        <v>6.5</v>
      </c>
      <c r="O9" s="47">
        <f>N9*$Q$4/1000</f>
        <v>1.365</v>
      </c>
      <c r="P9" s="18">
        <f t="shared" si="5"/>
        <v>19.474736871210347</v>
      </c>
      <c r="Q9" s="54"/>
      <c r="S9" s="75"/>
      <c r="T9" s="75"/>
    </row>
    <row r="10" spans="2:20" ht="38.25" customHeight="1" x14ac:dyDescent="0.25">
      <c r="B10" s="7" t="s">
        <v>8</v>
      </c>
      <c r="C10" s="9">
        <f>(C4/(C7*C8))*10^6</f>
        <v>10.630130514380204</v>
      </c>
      <c r="N10" s="15">
        <v>7</v>
      </c>
      <c r="O10" s="47">
        <f>N10*$Q$4/1000</f>
        <v>1.47</v>
      </c>
      <c r="P10" s="18">
        <f t="shared" si="5"/>
        <v>21.732261886472212</v>
      </c>
      <c r="Q10" s="54"/>
      <c r="R10" s="54"/>
      <c r="S10" s="76"/>
      <c r="T10" s="76"/>
    </row>
    <row r="11" spans="2:20" ht="38.25" customHeight="1" x14ac:dyDescent="0.25">
      <c r="B11" s="3" t="s">
        <v>20</v>
      </c>
      <c r="C11" s="3">
        <v>20</v>
      </c>
      <c r="N11" s="15">
        <v>7.5</v>
      </c>
      <c r="O11" s="47">
        <f>N11*$Q$4/1000</f>
        <v>1.575</v>
      </c>
      <c r="P11" s="18">
        <f t="shared" si="5"/>
        <v>24.068581773663595</v>
      </c>
      <c r="Q11" s="54"/>
    </row>
    <row r="12" spans="2:20" ht="37.5" customHeight="1" x14ac:dyDescent="0.25">
      <c r="N12" s="48" t="s">
        <v>152</v>
      </c>
      <c r="O12" s="49">
        <f>SUM(O5:O11)</f>
        <v>8.82</v>
      </c>
      <c r="P12" s="3"/>
      <c r="Q12" s="56"/>
    </row>
    <row r="13" spans="2:20" ht="37.5" customHeight="1" x14ac:dyDescent="0.25">
      <c r="N13" s="73"/>
      <c r="O13" s="73"/>
      <c r="P13" s="77"/>
      <c r="Q13" s="56"/>
    </row>
    <row r="14" spans="2:20" ht="37.5" customHeight="1" x14ac:dyDescent="0.25">
      <c r="B14" s="67" t="s">
        <v>0</v>
      </c>
      <c r="C14" s="67"/>
      <c r="D14" s="67"/>
      <c r="O14" s="83"/>
      <c r="P14" s="83"/>
      <c r="Q14" s="83"/>
      <c r="R14" s="83"/>
      <c r="S14" s="83"/>
      <c r="T14" s="83"/>
    </row>
    <row r="15" spans="2:20" ht="37.5" customHeight="1" x14ac:dyDescent="0.25">
      <c r="B15" s="10" t="s">
        <v>26</v>
      </c>
      <c r="C15" s="4"/>
      <c r="D15" s="12">
        <f>6*C2*10^-3</f>
        <v>1.2E-2</v>
      </c>
      <c r="N15" s="62" t="s">
        <v>171</v>
      </c>
      <c r="O15" s="84"/>
      <c r="P15" s="63"/>
      <c r="Q15" s="80"/>
      <c r="R15" s="81"/>
      <c r="S15" s="81"/>
      <c r="T15" s="80"/>
    </row>
    <row r="16" spans="2:20" ht="37.5" customHeight="1" x14ac:dyDescent="0.25">
      <c r="B16" s="10" t="s">
        <v>27</v>
      </c>
      <c r="C16" s="4"/>
      <c r="D16" s="13">
        <f>SQRT(C6*C7*C9)</f>
        <v>314.28622835455792</v>
      </c>
      <c r="N16" s="5" t="s">
        <v>169</v>
      </c>
      <c r="O16" s="78" t="s">
        <v>155</v>
      </c>
      <c r="P16" s="79" t="s">
        <v>173</v>
      </c>
      <c r="Q16" s="82"/>
      <c r="R16" s="82"/>
      <c r="S16" s="82"/>
      <c r="T16" s="82"/>
    </row>
    <row r="17" spans="2:20" ht="37.5" customHeight="1" x14ac:dyDescent="0.25">
      <c r="B17" s="10" t="s">
        <v>28</v>
      </c>
      <c r="C17" s="6"/>
      <c r="D17" s="13">
        <f>D16*(D15/C3)</f>
        <v>7.5428694805093901</v>
      </c>
      <c r="N17" s="5">
        <v>10</v>
      </c>
      <c r="O17" s="78">
        <v>0.96099999999999997</v>
      </c>
      <c r="P17" s="79">
        <f>100*(ABS(O17-$O$22)/$O$22)</f>
        <v>6.2396006655578713E-2</v>
      </c>
      <c r="Q17" s="82"/>
      <c r="R17" s="82"/>
      <c r="S17" s="82"/>
      <c r="T17" s="82"/>
    </row>
    <row r="18" spans="2:20" ht="37.5" customHeight="1" x14ac:dyDescent="0.25">
      <c r="B18" s="10" t="s">
        <v>1</v>
      </c>
      <c r="C18" s="68" t="s">
        <v>16</v>
      </c>
      <c r="D18" s="68"/>
      <c r="N18" s="5">
        <v>15</v>
      </c>
      <c r="O18" s="78">
        <v>0.92600000000000005</v>
      </c>
      <c r="P18" s="79">
        <f t="shared" ref="P18:P21" si="6">100*(ABS(O18-$O$22)/$O$22)</f>
        <v>3.7021630615640557</v>
      </c>
      <c r="Q18" s="82"/>
      <c r="R18" s="82"/>
      <c r="S18" s="82"/>
      <c r="T18" s="82"/>
    </row>
    <row r="19" spans="2:20" ht="37.5" customHeight="1" x14ac:dyDescent="0.25">
      <c r="B19" s="10" t="s">
        <v>12</v>
      </c>
      <c r="C19" s="5" t="s">
        <v>15</v>
      </c>
      <c r="D19" s="13">
        <f>(C2*10^-3) + (2*C3*TAN(RADIANS(11)))</f>
        <v>0.19638030913771848</v>
      </c>
      <c r="N19" s="5">
        <v>20</v>
      </c>
      <c r="O19" s="78">
        <v>0.96299999999999997</v>
      </c>
      <c r="P19" s="79">
        <f t="shared" si="6"/>
        <v>0.14559068219633495</v>
      </c>
      <c r="Q19" s="82"/>
      <c r="R19" s="82"/>
      <c r="S19" s="82"/>
      <c r="T19" s="82"/>
    </row>
    <row r="20" spans="2:20" ht="37.5" customHeight="1" x14ac:dyDescent="0.25">
      <c r="B20" s="10" t="s">
        <v>11</v>
      </c>
      <c r="C20" s="4"/>
      <c r="D20" s="14">
        <f>PI()*(D19/2)^2</f>
        <v>3.0289057527699982E-2</v>
      </c>
      <c r="E20" s="1">
        <f>D20*10^4</f>
        <v>302.89057527699981</v>
      </c>
      <c r="F20" s="1" t="s">
        <v>170</v>
      </c>
      <c r="G20" s="1"/>
      <c r="H20" s="1"/>
      <c r="I20" s="1"/>
      <c r="J20" s="1"/>
      <c r="K20" s="1"/>
      <c r="L20" s="1"/>
      <c r="M20" s="1"/>
      <c r="N20" s="5">
        <v>25</v>
      </c>
      <c r="O20" s="78">
        <v>0.90800000000000003</v>
      </c>
      <c r="P20" s="79">
        <f t="shared" si="6"/>
        <v>5.5740432612312789</v>
      </c>
    </row>
    <row r="21" spans="2:20" ht="37.5" customHeight="1" x14ac:dyDescent="0.25">
      <c r="B21" s="10" t="s">
        <v>3</v>
      </c>
      <c r="C21" s="4"/>
      <c r="D21" s="13">
        <f>C10*((2/(C6+1))^(1/(C6-1)))</f>
        <v>6.7388452221643886</v>
      </c>
      <c r="N21" s="5">
        <v>30</v>
      </c>
      <c r="O21" s="78">
        <v>1.05</v>
      </c>
      <c r="P21" s="79">
        <f t="shared" si="6"/>
        <v>9.1930116472545791</v>
      </c>
    </row>
    <row r="22" spans="2:20" ht="37.5" customHeight="1" x14ac:dyDescent="0.25">
      <c r="B22" s="10" t="s">
        <v>13</v>
      </c>
      <c r="C22" s="4"/>
      <c r="D22" s="13">
        <f>0.5*D21*D17^2</f>
        <v>191.7028951268081</v>
      </c>
      <c r="E22" s="2" t="s">
        <v>21</v>
      </c>
      <c r="F22" s="2"/>
      <c r="G22" s="2"/>
      <c r="H22" s="2"/>
      <c r="I22" s="2"/>
      <c r="J22" s="2"/>
      <c r="K22" s="2"/>
      <c r="L22" s="2"/>
      <c r="M22" s="2"/>
      <c r="N22" s="5" t="s">
        <v>172</v>
      </c>
      <c r="O22" s="85">
        <f>AVERAGE(O17:O21)</f>
        <v>0.96160000000000001</v>
      </c>
      <c r="P22" s="59">
        <f>AVERAGE(P17:P21)</f>
        <v>3.7354409317803658</v>
      </c>
    </row>
    <row r="23" spans="2:20" ht="37.5" customHeight="1" x14ac:dyDescent="0.25">
      <c r="B23" s="10" t="s">
        <v>2</v>
      </c>
      <c r="C23" s="4"/>
      <c r="D23" s="13">
        <f>D22-0.5*(D21)*(C24*C25)^2</f>
        <v>185.37378122316511</v>
      </c>
    </row>
    <row r="24" spans="2:20" ht="38.25" customHeight="1" x14ac:dyDescent="0.25">
      <c r="B24" s="10" t="s">
        <v>14</v>
      </c>
      <c r="C24" s="66">
        <f>D17/(D19/2)</f>
        <v>76.818999966230749</v>
      </c>
      <c r="D24" s="66"/>
    </row>
    <row r="25" spans="2:20" ht="38.25" customHeight="1" x14ac:dyDescent="0.25">
      <c r="B25" s="11" t="s">
        <v>17</v>
      </c>
      <c r="C25" s="66">
        <f>Q2/100</f>
        <v>1.7841241161527712E-2</v>
      </c>
      <c r="D25" s="66"/>
    </row>
    <row r="26" spans="2:20" ht="43.5" customHeight="1" x14ac:dyDescent="0.25">
      <c r="B26" s="10" t="s">
        <v>22</v>
      </c>
      <c r="C26" s="66">
        <f xml:space="preserve"> (D22*D20)/2</f>
        <v>2.9032500093612637</v>
      </c>
      <c r="D26" s="66"/>
    </row>
    <row r="27" spans="2:20" ht="38.25" customHeight="1" x14ac:dyDescent="0.25">
      <c r="B27" s="10" t="s">
        <v>156</v>
      </c>
      <c r="C27" s="66">
        <f>(O2/1000)*D23/2</f>
        <v>0.92686890611582562</v>
      </c>
      <c r="D27" s="66"/>
      <c r="T27" s="56"/>
    </row>
    <row r="28" spans="2:20" ht="38.25" customHeight="1" x14ac:dyDescent="0.25">
      <c r="B28" s="10" t="s">
        <v>23</v>
      </c>
      <c r="C28" s="66">
        <f>C27/D20</f>
        <v>30.600783971841462</v>
      </c>
      <c r="D28" s="66"/>
    </row>
    <row r="29" spans="2:20" ht="36" customHeight="1" x14ac:dyDescent="0.25"/>
  </sheetData>
  <mergeCells count="11">
    <mergeCell ref="N1:Q1"/>
    <mergeCell ref="N15:P15"/>
    <mergeCell ref="E9:F9"/>
    <mergeCell ref="J9:K9"/>
    <mergeCell ref="C28:D28"/>
    <mergeCell ref="C27:D27"/>
    <mergeCell ref="B14:D14"/>
    <mergeCell ref="C18:D18"/>
    <mergeCell ref="C24:D24"/>
    <mergeCell ref="C25:D25"/>
    <mergeCell ref="C26:D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707D-35B7-4B34-AB50-A5545CE2ABCA}">
  <dimension ref="B1:F57"/>
  <sheetViews>
    <sheetView showGridLines="0" workbookViewId="0">
      <selection activeCell="D11" sqref="D11"/>
    </sheetView>
  </sheetViews>
  <sheetFormatPr defaultRowHeight="15" x14ac:dyDescent="0.25"/>
  <cols>
    <col min="2" max="2" width="43.140625" style="36" bestFit="1" customWidth="1"/>
    <col min="3" max="3" width="41.85546875" customWidth="1"/>
    <col min="4" max="4" width="30" customWidth="1"/>
    <col min="5" max="5" width="19.28515625" bestFit="1" customWidth="1"/>
    <col min="6" max="6" width="81.42578125" bestFit="1" customWidth="1"/>
  </cols>
  <sheetData>
    <row r="1" spans="2:6" ht="35.25" customHeight="1" x14ac:dyDescent="0.3">
      <c r="B1" s="45" t="s">
        <v>108</v>
      </c>
    </row>
    <row r="2" spans="2:6" s="34" customFormat="1" ht="36.75" customHeight="1" x14ac:dyDescent="0.25">
      <c r="B2" s="51" t="s">
        <v>77</v>
      </c>
      <c r="C2" s="51" t="s">
        <v>78</v>
      </c>
      <c r="D2" s="51" t="s">
        <v>79</v>
      </c>
      <c r="E2" s="51" t="s">
        <v>80</v>
      </c>
      <c r="F2" s="51" t="s">
        <v>81</v>
      </c>
    </row>
    <row r="3" spans="2:6" s="32" customFormat="1" ht="36.75" customHeight="1" x14ac:dyDescent="0.25">
      <c r="B3" s="37" t="s">
        <v>82</v>
      </c>
      <c r="C3" s="33" t="s">
        <v>83</v>
      </c>
      <c r="D3" s="35" t="s">
        <v>84</v>
      </c>
      <c r="E3" s="35" t="s">
        <v>85</v>
      </c>
      <c r="F3" s="33" t="s">
        <v>86</v>
      </c>
    </row>
    <row r="4" spans="2:6" s="32" customFormat="1" ht="36.75" customHeight="1" x14ac:dyDescent="0.25">
      <c r="B4" s="37" t="s">
        <v>87</v>
      </c>
      <c r="C4" s="33" t="s">
        <v>88</v>
      </c>
      <c r="D4" s="35" t="s">
        <v>89</v>
      </c>
      <c r="E4" s="35">
        <v>7.37</v>
      </c>
      <c r="F4" s="33" t="s">
        <v>90</v>
      </c>
    </row>
    <row r="5" spans="2:6" s="32" customFormat="1" ht="36.75" customHeight="1" x14ac:dyDescent="0.25">
      <c r="B5" s="37" t="s">
        <v>91</v>
      </c>
      <c r="C5" s="33" t="s">
        <v>92</v>
      </c>
      <c r="D5" s="35" t="s">
        <v>93</v>
      </c>
      <c r="E5" s="35">
        <v>15.4</v>
      </c>
      <c r="F5" s="33" t="s">
        <v>94</v>
      </c>
    </row>
    <row r="6" spans="2:6" s="32" customFormat="1" ht="36.75" customHeight="1" x14ac:dyDescent="0.25">
      <c r="B6" s="37" t="s">
        <v>95</v>
      </c>
      <c r="C6" s="33" t="s">
        <v>83</v>
      </c>
      <c r="D6" s="35" t="s">
        <v>96</v>
      </c>
      <c r="E6" s="35" t="s">
        <v>97</v>
      </c>
      <c r="F6" s="33" t="s">
        <v>98</v>
      </c>
    </row>
    <row r="7" spans="2:6" s="32" customFormat="1" ht="36.75" customHeight="1" x14ac:dyDescent="0.25">
      <c r="B7" s="37" t="s">
        <v>99</v>
      </c>
      <c r="C7" s="33" t="s">
        <v>100</v>
      </c>
      <c r="D7" s="35" t="s">
        <v>84</v>
      </c>
      <c r="E7" s="35" t="s">
        <v>101</v>
      </c>
      <c r="F7" s="33" t="s">
        <v>102</v>
      </c>
    </row>
    <row r="8" spans="2:6" s="32" customFormat="1" ht="36.75" customHeight="1" x14ac:dyDescent="0.25">
      <c r="B8" s="37" t="s">
        <v>103</v>
      </c>
      <c r="C8" s="33" t="s">
        <v>104</v>
      </c>
      <c r="D8" s="35" t="s">
        <v>105</v>
      </c>
      <c r="E8" s="35" t="s">
        <v>106</v>
      </c>
      <c r="F8" s="33" t="s">
        <v>107</v>
      </c>
    </row>
    <row r="10" spans="2:6" ht="20.25" x14ac:dyDescent="0.3">
      <c r="B10" s="44" t="s">
        <v>109</v>
      </c>
    </row>
    <row r="11" spans="2:6" s="38" customFormat="1" ht="35.25" customHeight="1" x14ac:dyDescent="0.3">
      <c r="B11" s="52" t="s">
        <v>110</v>
      </c>
      <c r="C11" s="52" t="s">
        <v>111</v>
      </c>
      <c r="D11" s="52" t="s">
        <v>112</v>
      </c>
    </row>
    <row r="12" spans="2:6" s="38" customFormat="1" ht="35.25" customHeight="1" x14ac:dyDescent="0.3">
      <c r="B12" s="15" t="s">
        <v>113</v>
      </c>
      <c r="C12" s="15" t="s">
        <v>106</v>
      </c>
      <c r="D12" s="39" t="s">
        <v>114</v>
      </c>
    </row>
    <row r="13" spans="2:6" s="38" customFormat="1" ht="35.25" customHeight="1" x14ac:dyDescent="0.3">
      <c r="B13" s="15" t="s">
        <v>115</v>
      </c>
      <c r="C13" s="15" t="s">
        <v>116</v>
      </c>
      <c r="D13" s="39" t="s">
        <v>117</v>
      </c>
    </row>
    <row r="15" spans="2:6" ht="23.25" x14ac:dyDescent="0.25">
      <c r="B15" s="40" t="s">
        <v>118</v>
      </c>
    </row>
    <row r="16" spans="2:6" x14ac:dyDescent="0.25">
      <c r="B16" s="41"/>
    </row>
    <row r="17" spans="2:2" x14ac:dyDescent="0.25">
      <c r="B17" s="42" t="s">
        <v>119</v>
      </c>
    </row>
    <row r="18" spans="2:2" x14ac:dyDescent="0.25">
      <c r="B18" s="43" t="s">
        <v>120</v>
      </c>
    </row>
    <row r="19" spans="2:2" x14ac:dyDescent="0.25">
      <c r="B19" s="43" t="s">
        <v>121</v>
      </c>
    </row>
    <row r="20" spans="2:2" x14ac:dyDescent="0.25">
      <c r="B20" s="41" t="s">
        <v>122</v>
      </c>
    </row>
    <row r="21" spans="2:2" x14ac:dyDescent="0.25">
      <c r="B21" s="41"/>
    </row>
    <row r="22" spans="2:2" x14ac:dyDescent="0.25">
      <c r="B22" s="42" t="s">
        <v>123</v>
      </c>
    </row>
    <row r="23" spans="2:2" x14ac:dyDescent="0.25">
      <c r="B23" s="43" t="s">
        <v>124</v>
      </c>
    </row>
    <row r="24" spans="2:2" x14ac:dyDescent="0.25">
      <c r="B24" s="43" t="s">
        <v>125</v>
      </c>
    </row>
    <row r="25" spans="2:2" x14ac:dyDescent="0.25">
      <c r="B25" s="41" t="s">
        <v>126</v>
      </c>
    </row>
    <row r="26" spans="2:2" x14ac:dyDescent="0.25">
      <c r="B26" s="41"/>
    </row>
    <row r="27" spans="2:2" x14ac:dyDescent="0.25">
      <c r="B27" s="42" t="s">
        <v>127</v>
      </c>
    </row>
    <row r="28" spans="2:2" x14ac:dyDescent="0.25">
      <c r="B28" s="43" t="s">
        <v>128</v>
      </c>
    </row>
    <row r="29" spans="2:2" x14ac:dyDescent="0.25">
      <c r="B29" s="43" t="s">
        <v>129</v>
      </c>
    </row>
    <row r="30" spans="2:2" x14ac:dyDescent="0.25">
      <c r="B30" s="41"/>
    </row>
    <row r="31" spans="2:2" x14ac:dyDescent="0.25">
      <c r="B31" s="42" t="s">
        <v>130</v>
      </c>
    </row>
    <row r="32" spans="2:2" x14ac:dyDescent="0.25">
      <c r="B32" s="43" t="s">
        <v>131</v>
      </c>
    </row>
    <row r="33" spans="2:2" x14ac:dyDescent="0.25">
      <c r="B33" s="43" t="s">
        <v>132</v>
      </c>
    </row>
    <row r="34" spans="2:2" x14ac:dyDescent="0.25">
      <c r="B34" s="41" t="s">
        <v>133</v>
      </c>
    </row>
    <row r="35" spans="2:2" x14ac:dyDescent="0.25">
      <c r="B35" s="41"/>
    </row>
    <row r="36" spans="2:2" x14ac:dyDescent="0.25">
      <c r="B36" s="42" t="s">
        <v>134</v>
      </c>
    </row>
    <row r="37" spans="2:2" x14ac:dyDescent="0.25">
      <c r="B37" s="43" t="s">
        <v>135</v>
      </c>
    </row>
    <row r="38" spans="2:2" x14ac:dyDescent="0.25">
      <c r="B38" s="43" t="s">
        <v>136</v>
      </c>
    </row>
    <row r="39" spans="2:2" x14ac:dyDescent="0.25">
      <c r="B39" s="41" t="s">
        <v>137</v>
      </c>
    </row>
    <row r="40" spans="2:2" x14ac:dyDescent="0.25">
      <c r="B40" s="41"/>
    </row>
    <row r="41" spans="2:2" x14ac:dyDescent="0.25">
      <c r="B41" s="53" t="s">
        <v>138</v>
      </c>
    </row>
    <row r="42" spans="2:2" x14ac:dyDescent="0.25">
      <c r="B42" s="43" t="s">
        <v>139</v>
      </c>
    </row>
    <row r="43" spans="2:2" x14ac:dyDescent="0.25">
      <c r="B43" s="41" t="s">
        <v>140</v>
      </c>
    </row>
    <row r="44" spans="2:2" x14ac:dyDescent="0.25">
      <c r="B44" s="41"/>
    </row>
    <row r="45" spans="2:2" x14ac:dyDescent="0.25">
      <c r="B45" s="53" t="s">
        <v>141</v>
      </c>
    </row>
    <row r="46" spans="2:2" x14ac:dyDescent="0.25">
      <c r="B46" s="43" t="s">
        <v>142</v>
      </c>
    </row>
    <row r="47" spans="2:2" x14ac:dyDescent="0.25">
      <c r="B47" s="43" t="s">
        <v>143</v>
      </c>
    </row>
    <row r="48" spans="2:2" x14ac:dyDescent="0.25">
      <c r="B48" s="41" t="s">
        <v>144</v>
      </c>
    </row>
    <row r="49" spans="2:2" x14ac:dyDescent="0.25">
      <c r="B49" s="41"/>
    </row>
    <row r="50" spans="2:2" x14ac:dyDescent="0.25">
      <c r="B50" s="42" t="s">
        <v>145</v>
      </c>
    </row>
    <row r="51" spans="2:2" x14ac:dyDescent="0.25">
      <c r="B51" s="43" t="s">
        <v>146</v>
      </c>
    </row>
    <row r="52" spans="2:2" x14ac:dyDescent="0.25">
      <c r="B52" s="43" t="s">
        <v>147</v>
      </c>
    </row>
    <row r="53" spans="2:2" x14ac:dyDescent="0.25">
      <c r="B53" s="41"/>
    </row>
    <row r="54" spans="2:2" x14ac:dyDescent="0.25">
      <c r="B54" s="42" t="s">
        <v>148</v>
      </c>
    </row>
    <row r="55" spans="2:2" x14ac:dyDescent="0.25">
      <c r="B55" s="43" t="s">
        <v>149</v>
      </c>
    </row>
    <row r="56" spans="2:2" x14ac:dyDescent="0.25">
      <c r="B56" s="43" t="s">
        <v>150</v>
      </c>
    </row>
    <row r="57" spans="2:2" x14ac:dyDescent="0.25">
      <c r="B57" s="41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23ED-DA63-4F5A-9747-2F78B45EE095}">
  <dimension ref="A1:K36"/>
  <sheetViews>
    <sheetView showGridLines="0" zoomScale="89" workbookViewId="0">
      <selection activeCell="K13" sqref="K13"/>
    </sheetView>
  </sheetViews>
  <sheetFormatPr defaultRowHeight="15" x14ac:dyDescent="0.25"/>
  <cols>
    <col min="1" max="1" width="16.42578125" customWidth="1"/>
    <col min="2" max="2" width="17" customWidth="1"/>
    <col min="3" max="5" width="16.42578125" customWidth="1"/>
    <col min="6" max="9" width="17.42578125" customWidth="1"/>
    <col min="10" max="10" width="18.5703125" customWidth="1"/>
    <col min="11" max="11" width="16.42578125" customWidth="1"/>
  </cols>
  <sheetData>
    <row r="1" spans="1:11" ht="70.900000000000006" customHeight="1" x14ac:dyDescent="0.25">
      <c r="A1" s="19" t="s">
        <v>24</v>
      </c>
      <c r="B1" s="19" t="s">
        <v>25</v>
      </c>
      <c r="C1" s="19" t="s">
        <v>30</v>
      </c>
      <c r="D1" s="19" t="s">
        <v>31</v>
      </c>
      <c r="E1" s="19" t="s">
        <v>32</v>
      </c>
      <c r="F1" s="19" t="s">
        <v>33</v>
      </c>
      <c r="G1" s="19" t="s">
        <v>34</v>
      </c>
      <c r="H1" s="19" t="s">
        <v>35</v>
      </c>
      <c r="I1" s="19" t="s">
        <v>36</v>
      </c>
      <c r="J1" s="19" t="s">
        <v>37</v>
      </c>
      <c r="K1" s="19" t="s">
        <v>38</v>
      </c>
    </row>
    <row r="2" spans="1:11" ht="19.899999999999999" customHeight="1" x14ac:dyDescent="0.25">
      <c r="A2" s="21" t="s">
        <v>29</v>
      </c>
      <c r="B2" s="20">
        <v>4</v>
      </c>
      <c r="C2" s="20">
        <v>210</v>
      </c>
      <c r="D2" s="20">
        <v>0.84</v>
      </c>
      <c r="E2" s="20">
        <v>4</v>
      </c>
      <c r="F2" s="20"/>
      <c r="G2" s="20"/>
      <c r="H2" s="20"/>
      <c r="I2" s="20"/>
      <c r="J2" s="20" t="e">
        <f>AVERAGE(F2:I2)</f>
        <v>#DIV/0!</v>
      </c>
      <c r="K2" s="20"/>
    </row>
    <row r="3" spans="1:11" ht="19.899999999999999" customHeight="1" x14ac:dyDescent="0.25">
      <c r="A3" s="21" t="s">
        <v>29</v>
      </c>
      <c r="B3" s="20">
        <v>4.5</v>
      </c>
      <c r="C3" s="20">
        <v>210</v>
      </c>
      <c r="D3" s="20">
        <v>0.94499999999999995</v>
      </c>
      <c r="E3" s="20">
        <v>4</v>
      </c>
      <c r="F3" s="20"/>
      <c r="G3" s="20"/>
      <c r="H3" s="20"/>
      <c r="I3" s="20"/>
      <c r="J3" s="20" t="e">
        <f>AVERAGE(F3:I3)</f>
        <v>#DIV/0!</v>
      </c>
      <c r="K3" s="20"/>
    </row>
    <row r="4" spans="1:11" ht="19.899999999999999" customHeight="1" x14ac:dyDescent="0.25">
      <c r="A4" s="21" t="s">
        <v>29</v>
      </c>
      <c r="B4" s="20">
        <v>5</v>
      </c>
      <c r="C4" s="20">
        <v>210</v>
      </c>
      <c r="D4" s="20">
        <v>1.05</v>
      </c>
      <c r="E4" s="20">
        <v>4</v>
      </c>
      <c r="F4" s="20"/>
      <c r="G4" s="20"/>
      <c r="H4" s="20"/>
      <c r="I4" s="20"/>
      <c r="J4" s="20" t="e">
        <f>AVERAGE(F4:I4)</f>
        <v>#DIV/0!</v>
      </c>
      <c r="K4" s="20"/>
    </row>
    <row r="5" spans="1:11" ht="19.899999999999999" customHeight="1" x14ac:dyDescent="0.25">
      <c r="A5" s="21" t="s">
        <v>29</v>
      </c>
      <c r="B5" s="20">
        <v>5.5</v>
      </c>
      <c r="C5" s="20">
        <v>210</v>
      </c>
      <c r="D5" s="20">
        <v>1.155</v>
      </c>
      <c r="E5" s="20">
        <v>4</v>
      </c>
      <c r="F5" s="20"/>
      <c r="G5" s="20"/>
      <c r="H5" s="20"/>
      <c r="I5" s="20"/>
      <c r="J5" s="20" t="e">
        <f>AVERAGE(F5:I5)</f>
        <v>#DIV/0!</v>
      </c>
      <c r="K5" s="20"/>
    </row>
    <row r="6" spans="1:11" ht="19.899999999999999" customHeight="1" x14ac:dyDescent="0.25">
      <c r="A6" s="21" t="s">
        <v>29</v>
      </c>
      <c r="B6" s="20">
        <v>6</v>
      </c>
      <c r="C6" s="20">
        <v>210</v>
      </c>
      <c r="D6" s="20">
        <v>1.26</v>
      </c>
      <c r="E6" s="20">
        <v>4</v>
      </c>
      <c r="F6" s="20"/>
      <c r="G6" s="20"/>
      <c r="H6" s="20"/>
      <c r="I6" s="20"/>
      <c r="J6" s="20" t="e">
        <f>AVERAGE(F6:I6)</f>
        <v>#DIV/0!</v>
      </c>
      <c r="K6" s="20"/>
    </row>
    <row r="9" spans="1:11" ht="18" x14ac:dyDescent="0.25">
      <c r="A9" s="22" t="s">
        <v>72</v>
      </c>
      <c r="B9" s="23"/>
      <c r="C9" s="23"/>
      <c r="D9" s="23"/>
      <c r="F9" s="27" t="s">
        <v>73</v>
      </c>
      <c r="G9" s="28"/>
      <c r="H9" s="28"/>
      <c r="I9" s="28"/>
    </row>
    <row r="10" spans="1:11" x14ac:dyDescent="0.25">
      <c r="A10" s="24"/>
      <c r="B10" s="23"/>
      <c r="C10" s="23"/>
      <c r="D10" s="23"/>
      <c r="F10" s="29"/>
      <c r="G10" s="28"/>
      <c r="H10" s="28"/>
      <c r="I10" s="28"/>
    </row>
    <row r="11" spans="1:11" x14ac:dyDescent="0.25">
      <c r="A11" s="25" t="s">
        <v>39</v>
      </c>
      <c r="B11" s="23"/>
      <c r="C11" s="23"/>
      <c r="D11" s="23"/>
      <c r="F11" s="30" t="s">
        <v>55</v>
      </c>
      <c r="G11" s="28"/>
      <c r="H11" s="28"/>
      <c r="I11" s="28"/>
    </row>
    <row r="12" spans="1:11" x14ac:dyDescent="0.25">
      <c r="A12" s="26" t="s">
        <v>40</v>
      </c>
      <c r="B12" s="23"/>
      <c r="C12" s="23"/>
      <c r="D12" s="23"/>
      <c r="F12" s="31" t="s">
        <v>56</v>
      </c>
      <c r="G12" s="28"/>
      <c r="H12" s="28"/>
      <c r="I12" s="28"/>
    </row>
    <row r="13" spans="1:11" x14ac:dyDescent="0.25">
      <c r="A13" s="24"/>
      <c r="B13" s="23"/>
      <c r="C13" s="23"/>
      <c r="D13" s="23"/>
      <c r="F13" s="29"/>
      <c r="G13" s="28"/>
      <c r="H13" s="28"/>
      <c r="I13" s="28"/>
    </row>
    <row r="14" spans="1:11" x14ac:dyDescent="0.25">
      <c r="A14" s="25" t="s">
        <v>41</v>
      </c>
      <c r="B14" s="23"/>
      <c r="C14" s="23"/>
      <c r="D14" s="23"/>
      <c r="F14" s="30" t="s">
        <v>57</v>
      </c>
      <c r="G14" s="28"/>
      <c r="H14" s="28"/>
      <c r="I14" s="28"/>
    </row>
    <row r="15" spans="1:11" x14ac:dyDescent="0.25">
      <c r="A15" s="26" t="s">
        <v>42</v>
      </c>
      <c r="B15" s="23"/>
      <c r="C15" s="23"/>
      <c r="D15" s="23"/>
      <c r="F15" s="31" t="s">
        <v>58</v>
      </c>
      <c r="G15" s="28"/>
      <c r="H15" s="28"/>
      <c r="I15" s="28"/>
    </row>
    <row r="16" spans="1:11" x14ac:dyDescent="0.25">
      <c r="A16" s="26"/>
      <c r="B16" s="23"/>
      <c r="C16" s="23"/>
      <c r="D16" s="23"/>
      <c r="F16" s="29"/>
      <c r="G16" s="28"/>
      <c r="H16" s="28"/>
      <c r="I16" s="28"/>
    </row>
    <row r="17" spans="1:9" x14ac:dyDescent="0.25">
      <c r="A17" s="26" t="s">
        <v>43</v>
      </c>
      <c r="B17" s="23"/>
      <c r="C17" s="23"/>
      <c r="D17" s="23"/>
      <c r="F17" s="30" t="s">
        <v>59</v>
      </c>
      <c r="G17" s="28"/>
      <c r="H17" s="28"/>
      <c r="I17" s="28"/>
    </row>
    <row r="18" spans="1:9" x14ac:dyDescent="0.25">
      <c r="A18" s="24"/>
      <c r="B18" s="23"/>
      <c r="C18" s="23"/>
      <c r="D18" s="23"/>
      <c r="F18" s="31" t="s">
        <v>60</v>
      </c>
      <c r="G18" s="28"/>
      <c r="H18" s="28"/>
      <c r="I18" s="28"/>
    </row>
    <row r="19" spans="1:9" x14ac:dyDescent="0.25">
      <c r="A19" s="25" t="s">
        <v>44</v>
      </c>
      <c r="B19" s="23"/>
      <c r="C19" s="23"/>
      <c r="D19" s="23"/>
      <c r="F19" s="29"/>
      <c r="G19" s="28"/>
      <c r="H19" s="28"/>
      <c r="I19" s="28"/>
    </row>
    <row r="20" spans="1:9" x14ac:dyDescent="0.25">
      <c r="A20" s="26" t="s">
        <v>45</v>
      </c>
      <c r="B20" s="23"/>
      <c r="C20" s="23"/>
      <c r="D20" s="23"/>
      <c r="F20" s="30" t="s">
        <v>61</v>
      </c>
      <c r="G20" s="28"/>
      <c r="H20" s="28"/>
      <c r="I20" s="28"/>
    </row>
    <row r="21" spans="1:9" x14ac:dyDescent="0.25">
      <c r="A21" s="24"/>
      <c r="B21" s="23"/>
      <c r="C21" s="23"/>
      <c r="D21" s="23"/>
      <c r="F21" s="31" t="s">
        <v>62</v>
      </c>
      <c r="G21" s="28"/>
      <c r="H21" s="28"/>
      <c r="I21" s="28"/>
    </row>
    <row r="22" spans="1:9" x14ac:dyDescent="0.25">
      <c r="A22" s="25" t="s">
        <v>46</v>
      </c>
      <c r="B22" s="23"/>
      <c r="C22" s="23"/>
      <c r="D22" s="23"/>
      <c r="F22" s="29"/>
      <c r="G22" s="28"/>
      <c r="H22" s="28"/>
      <c r="I22" s="28"/>
    </row>
    <row r="23" spans="1:9" x14ac:dyDescent="0.25">
      <c r="A23" s="26" t="s">
        <v>47</v>
      </c>
      <c r="B23" s="23"/>
      <c r="C23" s="23"/>
      <c r="D23" s="23"/>
      <c r="F23" s="30" t="s">
        <v>63</v>
      </c>
      <c r="G23" s="28"/>
      <c r="H23" s="28"/>
      <c r="I23" s="28"/>
    </row>
    <row r="24" spans="1:9" x14ac:dyDescent="0.25">
      <c r="A24" s="26"/>
      <c r="B24" s="23"/>
      <c r="C24" s="23"/>
      <c r="D24" s="23"/>
      <c r="F24" s="31" t="s">
        <v>64</v>
      </c>
      <c r="G24" s="28"/>
      <c r="H24" s="28"/>
      <c r="I24" s="28"/>
    </row>
    <row r="25" spans="1:9" x14ac:dyDescent="0.25">
      <c r="A25" s="26" t="s">
        <v>48</v>
      </c>
      <c r="B25" s="23"/>
      <c r="C25" s="23"/>
      <c r="D25" s="23"/>
      <c r="F25" s="31"/>
      <c r="G25" s="28"/>
      <c r="H25" s="28"/>
      <c r="I25" s="28"/>
    </row>
    <row r="26" spans="1:9" x14ac:dyDescent="0.25">
      <c r="A26" s="24"/>
      <c r="B26" s="23"/>
      <c r="C26" s="23"/>
      <c r="D26" s="23"/>
      <c r="F26" s="31" t="s">
        <v>65</v>
      </c>
      <c r="G26" s="28"/>
      <c r="H26" s="28"/>
      <c r="I26" s="28"/>
    </row>
    <row r="27" spans="1:9" x14ac:dyDescent="0.25">
      <c r="A27" s="25" t="s">
        <v>49</v>
      </c>
      <c r="B27" s="23"/>
      <c r="C27" s="23"/>
      <c r="D27" s="23"/>
      <c r="F27" s="29"/>
      <c r="G27" s="28"/>
      <c r="H27" s="28"/>
      <c r="I27" s="28"/>
    </row>
    <row r="28" spans="1:9" x14ac:dyDescent="0.25">
      <c r="A28" s="26" t="s">
        <v>50</v>
      </c>
      <c r="B28" s="23"/>
      <c r="C28" s="23"/>
      <c r="D28" s="23"/>
      <c r="F28" s="30" t="s">
        <v>66</v>
      </c>
      <c r="G28" s="28"/>
      <c r="H28" s="28"/>
      <c r="I28" s="28"/>
    </row>
    <row r="29" spans="1:9" x14ac:dyDescent="0.25">
      <c r="A29" s="26"/>
      <c r="B29" s="23"/>
      <c r="C29" s="23"/>
      <c r="D29" s="23"/>
      <c r="F29" s="31" t="s">
        <v>67</v>
      </c>
      <c r="G29" s="28"/>
      <c r="H29" s="28"/>
      <c r="I29" s="28"/>
    </row>
    <row r="30" spans="1:9" x14ac:dyDescent="0.25">
      <c r="A30" s="26" t="s">
        <v>51</v>
      </c>
      <c r="B30" s="23"/>
      <c r="C30" s="23"/>
      <c r="D30" s="23"/>
      <c r="F30" s="31"/>
      <c r="G30" s="28"/>
      <c r="H30" s="28"/>
      <c r="I30" s="28"/>
    </row>
    <row r="31" spans="1:9" x14ac:dyDescent="0.25">
      <c r="A31" s="24"/>
      <c r="B31" s="23"/>
      <c r="C31" s="23"/>
      <c r="D31" s="23"/>
      <c r="F31" s="31" t="s">
        <v>68</v>
      </c>
      <c r="G31" s="28"/>
      <c r="H31" s="28"/>
      <c r="I31" s="28"/>
    </row>
    <row r="32" spans="1:9" x14ac:dyDescent="0.25">
      <c r="A32" s="25" t="s">
        <v>52</v>
      </c>
      <c r="B32" s="23"/>
      <c r="C32" s="23"/>
      <c r="D32" s="23"/>
      <c r="F32" s="29"/>
      <c r="G32" s="28"/>
      <c r="H32" s="28"/>
      <c r="I32" s="28"/>
    </row>
    <row r="33" spans="1:9" x14ac:dyDescent="0.25">
      <c r="A33" s="26" t="s">
        <v>53</v>
      </c>
      <c r="B33" s="23"/>
      <c r="C33" s="23"/>
      <c r="D33" s="23"/>
      <c r="F33" s="30" t="s">
        <v>69</v>
      </c>
      <c r="G33" s="28"/>
      <c r="H33" s="28"/>
      <c r="I33" s="28"/>
    </row>
    <row r="34" spans="1:9" x14ac:dyDescent="0.25">
      <c r="A34" s="26"/>
      <c r="B34" s="23"/>
      <c r="C34" s="23"/>
      <c r="D34" s="23"/>
      <c r="F34" s="31" t="s">
        <v>70</v>
      </c>
      <c r="G34" s="28"/>
      <c r="H34" s="28"/>
      <c r="I34" s="28"/>
    </row>
    <row r="35" spans="1:9" x14ac:dyDescent="0.25">
      <c r="A35" s="26" t="s">
        <v>54</v>
      </c>
      <c r="B35" s="23"/>
      <c r="C35" s="23"/>
      <c r="D35" s="23"/>
      <c r="F35" s="31"/>
      <c r="G35" s="28"/>
      <c r="H35" s="28"/>
      <c r="I35" s="28"/>
    </row>
    <row r="36" spans="1:9" x14ac:dyDescent="0.25">
      <c r="F36" s="31" t="s">
        <v>71</v>
      </c>
      <c r="G36" s="28"/>
      <c r="H36" s="28"/>
      <c r="I36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Jet Impingement</vt:lpstr>
      <vt:lpstr>Forearm Properties</vt:lpstr>
      <vt:lpstr>Load cell Lab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Naowarangsee</dc:creator>
  <cp:lastModifiedBy>Napat Naowarangsee</cp:lastModifiedBy>
  <dcterms:created xsi:type="dcterms:W3CDTF">2025-05-07T04:43:10Z</dcterms:created>
  <dcterms:modified xsi:type="dcterms:W3CDTF">2025-09-08T08:18:32Z</dcterms:modified>
</cp:coreProperties>
</file>